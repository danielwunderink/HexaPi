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filterPrivacy="1" codeName="ThisWorkbook"/>
  <bookViews>
    <workbookView xWindow="0" yWindow="0" windowWidth="22260" windowHeight="8280" tabRatio="692"/>
  </bookViews>
  <sheets>
    <sheet name="Foot Vectors" sheetId="2" r:id="rId1"/>
    <sheet name="Gait Data" sheetId="12" state="hidden" r:id="rId2"/>
    <sheet name="Angles" sheetId="1" r:id="rId3"/>
    <sheet name="Simulation" sheetId="13" r:id="rId4"/>
  </sheets>
  <definedNames>
    <definedName name="A_global">Angles!$Q$3:$Q$8</definedName>
    <definedName name="L_1">Angles!$B$10</definedName>
    <definedName name="L_2">Angles!$B$11</definedName>
    <definedName name="P_mag">Angles!$U$3:$U$8</definedName>
    <definedName name="R_b">Angles!$B$13</definedName>
    <definedName name="R_max">Angles!$C$15</definedName>
    <definedName name="R_min">Angles!$C$14</definedName>
    <definedName name="R_r">Angles!$C$12</definedName>
    <definedName name="X">Angles!$B$3:$B$8</definedName>
    <definedName name="X_base">Angles!$N$3:$N$8</definedName>
    <definedName name="Y">Angles!$C$3:$C$8</definedName>
    <definedName name="Y_base">Angles!$O$3:$O$8</definedName>
    <definedName name="Z">Angles!$D$3:$D$8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4" i="1" l="1"/>
  <c r="X5" i="1"/>
  <c r="X6" i="1"/>
  <c r="X7" i="1"/>
  <c r="X8" i="1"/>
  <c r="X3" i="1"/>
  <c r="AA3" i="1" s="1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N5" i="2"/>
  <c r="B13" i="1" l="1"/>
  <c r="C12" i="1" l="1"/>
  <c r="C15" i="1"/>
  <c r="C14" i="1"/>
  <c r="U4" i="1"/>
  <c r="W4" i="1" s="1"/>
  <c r="U5" i="1"/>
  <c r="U6" i="1"/>
  <c r="U7" i="1"/>
  <c r="U8" i="1"/>
  <c r="U3" i="1"/>
  <c r="W3" i="1" s="1"/>
  <c r="V7" i="1" l="1"/>
  <c r="Y7" i="1" s="1"/>
  <c r="W7" i="1"/>
  <c r="Z7" i="1" s="1"/>
  <c r="V5" i="1"/>
  <c r="W5" i="1"/>
  <c r="Z5" i="1" s="1"/>
  <c r="V8" i="1"/>
  <c r="W8" i="1"/>
  <c r="Z8" i="1" s="1"/>
  <c r="V6" i="1"/>
  <c r="Y6" i="1" s="1"/>
  <c r="W6" i="1"/>
  <c r="Z6" i="1" s="1"/>
  <c r="Z3" i="1"/>
  <c r="V3" i="1"/>
  <c r="V4" i="1"/>
  <c r="AA4" i="1"/>
  <c r="Y5" i="1"/>
  <c r="AA5" i="1"/>
  <c r="AA6" i="1"/>
  <c r="AA7" i="1"/>
  <c r="AA8" i="1"/>
  <c r="Y3" i="1" l="1"/>
  <c r="Z4" i="1"/>
  <c r="Y8" i="1"/>
  <c r="Y4" i="1"/>
  <c r="T8" i="1"/>
  <c r="Q8" i="1"/>
  <c r="O8" i="1"/>
  <c r="N8" i="1"/>
  <c r="R8" i="1" s="1"/>
  <c r="T7" i="1"/>
  <c r="Q7" i="1"/>
  <c r="O7" i="1"/>
  <c r="T6" i="1"/>
  <c r="Q6" i="1"/>
  <c r="O6" i="1"/>
  <c r="S6" i="1" s="1"/>
  <c r="N6" i="1"/>
  <c r="R6" i="1" s="1"/>
  <c r="T5" i="1"/>
  <c r="Q5" i="1"/>
  <c r="O5" i="1"/>
  <c r="N5" i="1"/>
  <c r="T4" i="1"/>
  <c r="Q4" i="1"/>
  <c r="O4" i="1"/>
  <c r="T3" i="1"/>
  <c r="Q3" i="1"/>
  <c r="O3" i="1"/>
  <c r="N3" i="1"/>
  <c r="S8" i="1" l="1"/>
  <c r="S3" i="1"/>
  <c r="S5" i="1"/>
  <c r="S7" i="1"/>
  <c r="S4" i="1"/>
  <c r="R4" i="1"/>
  <c r="R3" i="1"/>
  <c r="R5" i="1"/>
  <c r="R7" i="1"/>
  <c r="V3" i="2" l="1"/>
  <c r="P3" i="2"/>
  <c r="D16" i="2" l="1"/>
  <c r="AA4" i="2" s="1"/>
  <c r="D17" i="2"/>
  <c r="D15" i="2"/>
  <c r="C8" i="2"/>
  <c r="Y3" i="2" s="1"/>
  <c r="C7" i="2"/>
  <c r="W3" i="2" s="1"/>
  <c r="C6" i="2"/>
  <c r="U3" i="2" s="1"/>
  <c r="C5" i="2"/>
  <c r="S3" i="2" s="1"/>
  <c r="C4" i="2"/>
  <c r="Q3" i="2" s="1"/>
  <c r="C3" i="2"/>
  <c r="O3" i="2" s="1"/>
  <c r="B8" i="2"/>
  <c r="X3" i="2" s="1"/>
  <c r="B6" i="2"/>
  <c r="T3" i="2" s="1"/>
  <c r="B5" i="2"/>
  <c r="R3" i="2" s="1"/>
  <c r="B3" i="2"/>
  <c r="N3" i="2" s="1"/>
  <c r="D3" i="2" l="1"/>
  <c r="E3" i="2" s="1"/>
  <c r="Z4" i="2"/>
  <c r="AB4" i="2"/>
  <c r="D4" i="2"/>
  <c r="D7" i="2"/>
  <c r="D5" i="2"/>
  <c r="D6" i="2"/>
  <c r="D8" i="2"/>
  <c r="E4" i="2" l="1"/>
  <c r="G4" i="2" s="1"/>
  <c r="G3" i="2"/>
  <c r="N6" i="2" s="1"/>
  <c r="F3" i="2"/>
  <c r="E7" i="2"/>
  <c r="G7" i="2" s="1"/>
  <c r="V6" i="2" s="1"/>
  <c r="E8" i="2"/>
  <c r="G8" i="2" s="1"/>
  <c r="X6" i="2" s="1"/>
  <c r="F7" i="2"/>
  <c r="E6" i="2"/>
  <c r="G6" i="2" s="1"/>
  <c r="T6" i="2" s="1"/>
  <c r="F6" i="2"/>
  <c r="F4" i="2"/>
  <c r="E5" i="2"/>
  <c r="G5" i="2" s="1"/>
  <c r="R6" i="2" s="1"/>
  <c r="F5" i="2"/>
  <c r="F8" i="2"/>
  <c r="I4" i="2" l="1"/>
  <c r="P6" i="2"/>
  <c r="I8" i="2"/>
  <c r="I7" i="2"/>
  <c r="I6" i="2"/>
  <c r="I5" i="2"/>
  <c r="I3" i="2"/>
  <c r="Q4" i="2"/>
  <c r="H4" i="2"/>
  <c r="U4" i="2"/>
  <c r="H6" i="2"/>
  <c r="U6" i="2" s="1"/>
  <c r="O4" i="2"/>
  <c r="H3" i="2"/>
  <c r="O6" i="2" s="1"/>
  <c r="Y4" i="2"/>
  <c r="H8" i="2"/>
  <c r="Y6" i="2" s="1"/>
  <c r="W4" i="2"/>
  <c r="H7" i="2"/>
  <c r="W6" i="2" s="1"/>
  <c r="S4" i="2"/>
  <c r="H5" i="2"/>
  <c r="S6" i="2" s="1"/>
  <c r="P4" i="2"/>
  <c r="N4" i="2"/>
  <c r="T4" i="2"/>
  <c r="X4" i="2"/>
  <c r="V4" i="2"/>
  <c r="R4" i="2"/>
  <c r="F5" i="1"/>
  <c r="E5" i="1"/>
  <c r="E6" i="1"/>
  <c r="E3" i="1"/>
  <c r="E9" i="1" s="1"/>
  <c r="F7" i="1"/>
  <c r="F6" i="1"/>
  <c r="F3" i="1"/>
  <c r="F9" i="1" s="1"/>
  <c r="F4" i="1"/>
  <c r="F8" i="1"/>
  <c r="E8" i="1"/>
  <c r="I3" i="1"/>
  <c r="I9" i="1" s="1"/>
  <c r="I4" i="1"/>
  <c r="H8" i="1"/>
  <c r="H5" i="1"/>
  <c r="I5" i="1"/>
  <c r="H6" i="1"/>
  <c r="I7" i="1"/>
  <c r="H3" i="1"/>
  <c r="H9" i="1" s="1"/>
  <c r="I8" i="1"/>
  <c r="I6" i="1"/>
  <c r="L5" i="1"/>
  <c r="L3" i="1"/>
  <c r="K6" i="1"/>
  <c r="L7" i="1"/>
  <c r="L8" i="1"/>
  <c r="K3" i="1"/>
  <c r="L4" i="1"/>
  <c r="L6" i="1"/>
  <c r="K5" i="1"/>
  <c r="K8" i="1"/>
  <c r="Q6" i="2" l="1"/>
  <c r="J7" i="2"/>
  <c r="K7" i="2" s="1"/>
  <c r="J3" i="2"/>
  <c r="K3" i="2" s="1"/>
  <c r="J8" i="2"/>
  <c r="K8" i="2" s="1"/>
  <c r="J5" i="2"/>
  <c r="K5" i="2" s="1"/>
  <c r="J6" i="2"/>
  <c r="K6" i="2" s="1"/>
  <c r="J4" i="2"/>
  <c r="K4" i="2" s="1"/>
  <c r="L3" i="2"/>
</calcChain>
</file>

<file path=xl/sharedStrings.xml><?xml version="1.0" encoding="utf-8"?>
<sst xmlns="http://schemas.openxmlformats.org/spreadsheetml/2006/main" count="140" uniqueCount="98">
  <si>
    <t>Claw (L_2)</t>
  </si>
  <si>
    <t>x</t>
  </si>
  <si>
    <t>y</t>
  </si>
  <si>
    <t xml:space="preserve">Arm (L_1) </t>
  </si>
  <si>
    <t>In Degrees</t>
  </si>
  <si>
    <t>In Radians</t>
  </si>
  <si>
    <t>Leg 1</t>
  </si>
  <si>
    <t>foot 1</t>
  </si>
  <si>
    <t>foot 2</t>
  </si>
  <si>
    <t>foot 3</t>
  </si>
  <si>
    <t>foot 4</t>
  </si>
  <si>
    <t>foot 5</t>
  </si>
  <si>
    <t>foot 6</t>
  </si>
  <si>
    <t>Joystick 1</t>
  </si>
  <si>
    <t>Joystick 2</t>
  </si>
  <si>
    <t>Qx</t>
  </si>
  <si>
    <t>Qy</t>
  </si>
  <si>
    <t>angle</t>
  </si>
  <si>
    <t>theta</t>
  </si>
  <si>
    <t>datum</t>
  </si>
  <si>
    <t>Resting Radius</t>
  </si>
  <si>
    <t>Body Radius</t>
  </si>
  <si>
    <t>(-1 to 1)</t>
  </si>
  <si>
    <t>Value</t>
  </si>
  <si>
    <t>Range</t>
  </si>
  <si>
    <t>Variable</t>
  </si>
  <si>
    <t>Joystick Inputs</t>
  </si>
  <si>
    <t>leg 1</t>
  </si>
  <si>
    <t>leg 2</t>
  </si>
  <si>
    <t>leg 3</t>
  </si>
  <si>
    <t>leg 4</t>
  </si>
  <si>
    <t>leg 5</t>
  </si>
  <si>
    <t>Leg 2</t>
  </si>
  <si>
    <t>Leg 3</t>
  </si>
  <si>
    <t>Leg 4</t>
  </si>
  <si>
    <t>Leg 5</t>
  </si>
  <si>
    <t>Leg 6</t>
  </si>
  <si>
    <t>Datum</t>
  </si>
  <si>
    <t>x'</t>
  </si>
  <si>
    <t>y'</t>
  </si>
  <si>
    <t>X</t>
  </si>
  <si>
    <t>Y</t>
  </si>
  <si>
    <t>Z</t>
  </si>
  <si>
    <t>Local Coordinates</t>
  </si>
  <si>
    <t>Global Coordinates</t>
  </si>
  <si>
    <t>Angle</t>
  </si>
  <si>
    <t>Leg Base Coordinates</t>
  </si>
  <si>
    <t>Limit Coordinates (min)</t>
  </si>
  <si>
    <t>Limit Coordinates (max)</t>
  </si>
  <si>
    <t>Limit min</t>
  </si>
  <si>
    <t>Limit max</t>
  </si>
  <si>
    <t>Foot vector Datum</t>
  </si>
  <si>
    <t>Foot 1</t>
  </si>
  <si>
    <t>Foot 2</t>
  </si>
  <si>
    <t>Foot 3</t>
  </si>
  <si>
    <t>Foot 4</t>
  </si>
  <si>
    <t>Foot 5</t>
  </si>
  <si>
    <t>Foot 6</t>
  </si>
  <si>
    <t>Direction</t>
  </si>
  <si>
    <t>Rotation</t>
  </si>
  <si>
    <t>A_size</t>
  </si>
  <si>
    <t>B_size</t>
  </si>
  <si>
    <t>C_size</t>
  </si>
  <si>
    <t>D_size</t>
  </si>
  <si>
    <t>blocks</t>
  </si>
  <si>
    <t>A_slope</t>
  </si>
  <si>
    <t>B_slope</t>
  </si>
  <si>
    <t>C_slope</t>
  </si>
  <si>
    <t>D_slope</t>
  </si>
  <si>
    <t>A_inter_Gx</t>
  </si>
  <si>
    <t>B_inter_Gx</t>
  </si>
  <si>
    <t>C_inter_Gx</t>
  </si>
  <si>
    <t>D_inter_Gx</t>
  </si>
  <si>
    <t>C_inter_Fx</t>
  </si>
  <si>
    <t>D_inter_Fx</t>
  </si>
  <si>
    <t>A_hi</t>
  </si>
  <si>
    <t>A_lo</t>
  </si>
  <si>
    <t>B_hi</t>
  </si>
  <si>
    <t>B_lo</t>
  </si>
  <si>
    <t>C_hi</t>
  </si>
  <si>
    <t>C_lo</t>
  </si>
  <si>
    <t>D_hi</t>
  </si>
  <si>
    <t>D_lo</t>
  </si>
  <si>
    <t>leg 0</t>
  </si>
  <si>
    <t>all in (cm)</t>
  </si>
  <si>
    <t>beta</t>
  </si>
  <si>
    <t>alpha</t>
  </si>
  <si>
    <t>P_mag</t>
  </si>
  <si>
    <t>|x',y'|/|x',y'|max</t>
  </si>
  <si>
    <t>Unitized Magn.</t>
  </si>
  <si>
    <t>Global vector</t>
  </si>
  <si>
    <t>Local Vector</t>
  </si>
  <si>
    <t>Local vector unitized</t>
  </si>
  <si>
    <t>Qr</t>
  </si>
  <si>
    <t>Leg Base Radius</t>
  </si>
  <si>
    <t>Center</t>
  </si>
  <si>
    <t>Vector (L)</t>
  </si>
  <si>
    <t>Vector (G)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</si>
</sst>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9" xfId="0" applyFont="1" applyBorder="1"/>
    <xf numFmtId="0" fontId="0" fillId="2" borderId="9" xfId="0" applyFont="1" applyFill="1" applyBorder="1"/>
    <xf numFmtId="0" fontId="0" fillId="0" borderId="10" xfId="0" applyFont="1" applyBorder="1"/>
    <xf numFmtId="0" fontId="0" fillId="2" borderId="10" xfId="0" applyFont="1" applyFill="1" applyBorder="1"/>
    <xf numFmtId="0" fontId="0" fillId="2" borderId="11" xfId="0" applyFont="1" applyFill="1" applyBorder="1"/>
    <xf numFmtId="164" fontId="0" fillId="0" borderId="4" xfId="0" applyNumberFormat="1" applyFont="1" applyBorder="1" applyAlignment="1">
      <alignment horizontal="center"/>
    </xf>
    <xf numFmtId="164" fontId="0" fillId="0" borderId="7" xfId="0" applyNumberFormat="1" applyFont="1" applyBorder="1" applyAlignment="1">
      <alignment horizontal="center"/>
    </xf>
    <xf numFmtId="164" fontId="0" fillId="2" borderId="4" xfId="0" applyNumberFormat="1" applyFont="1" applyFill="1" applyBorder="1" applyAlignment="1">
      <alignment horizontal="center"/>
    </xf>
    <xf numFmtId="164" fontId="0" fillId="2" borderId="7" xfId="0" applyNumberFormat="1" applyFont="1" applyFill="1" applyBorder="1" applyAlignment="1">
      <alignment horizontal="center"/>
    </xf>
    <xf numFmtId="164" fontId="0" fillId="2" borderId="5" xfId="0" applyNumberFormat="1" applyFont="1" applyFill="1" applyBorder="1" applyAlignment="1">
      <alignment horizontal="center"/>
    </xf>
    <xf numFmtId="164" fontId="0" fillId="2" borderId="8" xfId="0" applyNumberFormat="1" applyFont="1" applyFill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164" fontId="0" fillId="2" borderId="1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/>
    </xf>
    <xf numFmtId="0" fontId="0" fillId="2" borderId="13" xfId="0" applyFont="1" applyFill="1" applyBorder="1" applyAlignment="1">
      <alignment horizontal="center"/>
    </xf>
    <xf numFmtId="0" fontId="0" fillId="2" borderId="14" xfId="0" applyFont="1" applyFill="1" applyBorder="1" applyAlignment="1">
      <alignment horizontal="center"/>
    </xf>
    <xf numFmtId="0" fontId="0" fillId="2" borderId="0" xfId="0" applyFont="1" applyFill="1" applyBorder="1"/>
    <xf numFmtId="164" fontId="0" fillId="2" borderId="15" xfId="0" applyNumberFormat="1" applyFont="1" applyFill="1" applyBorder="1" applyAlignment="1">
      <alignment horizont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0" xfId="0" applyAlignment="1"/>
    <xf numFmtId="0" fontId="1" fillId="0" borderId="0" xfId="0" applyFont="1" applyAlignment="1">
      <alignment horizontal="right"/>
    </xf>
    <xf numFmtId="2" fontId="0" fillId="0" borderId="0" xfId="0" applyNumberFormat="1" applyFont="1"/>
    <xf numFmtId="2" fontId="0" fillId="0" borderId="0" xfId="0" applyNumberFormat="1"/>
    <xf numFmtId="164" fontId="0" fillId="0" borderId="0" xfId="0" applyNumberFormat="1" applyFont="1"/>
    <xf numFmtId="0" fontId="0" fillId="0" borderId="0" xfId="0" applyAlignment="1">
      <alignment horizontal="center" vertic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 vertical="center"/>
    </xf>
    <xf numFmtId="0" fontId="2" fillId="0" borderId="0" xfId="0" applyFont="1"/>
    <xf numFmtId="164" fontId="2" fillId="0" borderId="0" xfId="0" applyNumberFormat="1" applyFont="1" applyFill="1"/>
    <xf numFmtId="2" fontId="3" fillId="0" borderId="0" xfId="0" applyNumberFormat="1" applyFont="1" applyFill="1"/>
    <xf numFmtId="0" fontId="0" fillId="0" borderId="0" xfId="0" applyAlignment="1">
      <alignment horizontal="center"/>
    </xf>
    <xf numFmtId="0" fontId="1" fillId="0" borderId="16" xfId="0" applyFont="1" applyBorder="1" applyAlignment="1">
      <alignment horizontal="center"/>
    </xf>
    <xf numFmtId="0" fontId="0" fillId="2" borderId="16" xfId="0" applyFont="1" applyFill="1" applyBorder="1" applyAlignment="1">
      <alignment horizontal="center"/>
    </xf>
    <xf numFmtId="164" fontId="0" fillId="0" borderId="17" xfId="0" applyNumberFormat="1" applyFont="1" applyBorder="1" applyAlignment="1">
      <alignment horizontal="center"/>
    </xf>
    <xf numFmtId="164" fontId="0" fillId="2" borderId="10" xfId="0" applyNumberFormat="1" applyFont="1" applyFill="1" applyBorder="1" applyAlignment="1">
      <alignment horizontal="center"/>
    </xf>
    <xf numFmtId="164" fontId="0" fillId="0" borderId="10" xfId="0" applyNumberFormat="1" applyFont="1" applyBorder="1" applyAlignment="1">
      <alignment horizontal="center"/>
    </xf>
    <xf numFmtId="164" fontId="0" fillId="2" borderId="18" xfId="0" applyNumberFormat="1" applyFont="1" applyFill="1" applyBorder="1" applyAlignment="1">
      <alignment horizontal="center"/>
    </xf>
    <xf numFmtId="165" fontId="0" fillId="0" borderId="0" xfId="0" applyNumberFormat="1"/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29156295820872E-2"/>
          <c:y val="4.9261083743842367E-2"/>
          <c:w val="0.71454057805398574"/>
          <c:h val="0.847269953324799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'Foot Vectors'!$N$1:$O$1</c:f>
              <c:strCache>
                <c:ptCount val="1"/>
                <c:pt idx="0">
                  <c:v>Foot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Vectors'!$N$3:$N$4</c:f>
              <c:numCache>
                <c:formatCode>0.000</c:formatCode>
                <c:ptCount val="2"/>
                <c:pt idx="0">
                  <c:v>2.598076211353316</c:v>
                </c:pt>
                <c:pt idx="1">
                  <c:v>1.9467452926475444</c:v>
                </c:pt>
              </c:numCache>
            </c:numRef>
          </c:xVal>
          <c:yVal>
            <c:numRef>
              <c:f>'Foot Vectors'!$O$3:$O$4</c:f>
              <c:numCache>
                <c:formatCode>0.000</c:formatCode>
                <c:ptCount val="2"/>
                <c:pt idx="0">
                  <c:v>1.5</c:v>
                </c:pt>
                <c:pt idx="1">
                  <c:v>-0.43724589716329998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BC-473A-A31F-CDE236311C92}"/>
            </c:ext>
          </c:extLst>
        </c:ser>
        <c:ser>
          <c:idx val="1"/>
          <c:order val="1"/>
          <c:tx>
            <c:strRef>
              <c:f>'Foot Vectors'!$P$1:$Q$1</c:f>
              <c:strCache>
                <c:ptCount val="1"/>
                <c:pt idx="0">
                  <c:v>Foot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Vectors'!$P$3:$P$4</c:f>
              <c:numCache>
                <c:formatCode>0.000</c:formatCode>
                <c:ptCount val="2"/>
                <c:pt idx="0">
                  <c:v>0</c:v>
                </c:pt>
                <c:pt idx="1">
                  <c:v>-1.3986702816730645E-2</c:v>
                </c:pt>
              </c:numCache>
            </c:numRef>
          </c:xVal>
          <c:yVal>
            <c:numRef>
              <c:f>'Foot Vectors'!$Q$3:$Q$4</c:f>
              <c:numCache>
                <c:formatCode>0.000</c:formatCode>
                <c:ptCount val="2"/>
                <c:pt idx="0">
                  <c:v>3</c:v>
                </c:pt>
                <c:pt idx="1">
                  <c:v>1.833333333333333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BC-473A-A31F-CDE236311C92}"/>
            </c:ext>
          </c:extLst>
        </c:ser>
        <c:ser>
          <c:idx val="2"/>
          <c:order val="2"/>
          <c:tx>
            <c:strRef>
              <c:f>'Foot Vectors'!$R$1:$S$1</c:f>
              <c:strCache>
                <c:ptCount val="1"/>
                <c:pt idx="0">
                  <c:v>Foot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Vectors'!$R$3:$R$4</c:f>
              <c:numCache>
                <c:formatCode>0.000</c:formatCode>
                <c:ptCount val="2"/>
                <c:pt idx="0">
                  <c:v>-2.598076211353316</c:v>
                </c:pt>
                <c:pt idx="1">
                  <c:v>-2.9607319954642746</c:v>
                </c:pt>
              </c:numCache>
            </c:numRef>
          </c:xVal>
          <c:yVal>
            <c:numRef>
              <c:f>'Foot Vectors'!$S$3:$S$4</c:f>
              <c:numCache>
                <c:formatCode>0.000</c:formatCode>
                <c:ptCount val="2"/>
                <c:pt idx="0">
                  <c:v>1.5</c:v>
                </c:pt>
                <c:pt idx="1">
                  <c:v>1.270579230496633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BC-473A-A31F-CDE236311C92}"/>
            </c:ext>
          </c:extLst>
        </c:ser>
        <c:ser>
          <c:idx val="3"/>
          <c:order val="3"/>
          <c:tx>
            <c:strRef>
              <c:f>'Foot Vectors'!$T$1:$U$1</c:f>
              <c:strCache>
                <c:ptCount val="1"/>
                <c:pt idx="0">
                  <c:v>Foot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Vectors'!$T$3:$T$4</c:f>
              <c:numCache>
                <c:formatCode>0.000</c:formatCode>
                <c:ptCount val="2"/>
                <c:pt idx="0">
                  <c:v>-2.598076211353316</c:v>
                </c:pt>
                <c:pt idx="1">
                  <c:v>-3.9467452926475444</c:v>
                </c:pt>
              </c:numCache>
            </c:numRef>
          </c:xVal>
          <c:yVal>
            <c:numRef>
              <c:f>'Foot Vectors'!$U$3:$U$4</c:f>
              <c:numCache>
                <c:formatCode>0.000</c:formatCode>
                <c:ptCount val="2"/>
                <c:pt idx="0">
                  <c:v>-1.5</c:v>
                </c:pt>
                <c:pt idx="1">
                  <c:v>-1.5627541028367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CBC-473A-A31F-CDE236311C92}"/>
            </c:ext>
          </c:extLst>
        </c:ser>
        <c:ser>
          <c:idx val="4"/>
          <c:order val="4"/>
          <c:tx>
            <c:strRef>
              <c:f>'Foot Vectors'!$V$1:$W$1</c:f>
              <c:strCache>
                <c:ptCount val="1"/>
                <c:pt idx="0">
                  <c:v>Foot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Vectors'!$V$3:$V$4</c:f>
              <c:numCache>
                <c:formatCode>0.000</c:formatCode>
                <c:ptCount val="2"/>
                <c:pt idx="0">
                  <c:v>0</c:v>
                </c:pt>
                <c:pt idx="1">
                  <c:v>-1.9860132971832694</c:v>
                </c:pt>
              </c:numCache>
            </c:numRef>
          </c:xVal>
          <c:yVal>
            <c:numRef>
              <c:f>'Foot Vectors'!$W$3:$W$4</c:f>
              <c:numCache>
                <c:formatCode>0.000</c:formatCode>
                <c:ptCount val="2"/>
                <c:pt idx="0">
                  <c:v>-3</c:v>
                </c:pt>
                <c:pt idx="1">
                  <c:v>-3.833333333333333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CBC-473A-A31F-CDE236311C92}"/>
            </c:ext>
          </c:extLst>
        </c:ser>
        <c:ser>
          <c:idx val="5"/>
          <c:order val="5"/>
          <c:tx>
            <c:strRef>
              <c:f>'Foot Vectors'!$X$1:$Y$1</c:f>
              <c:strCache>
                <c:ptCount val="1"/>
                <c:pt idx="0">
                  <c:v>Foot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Vectors'!$X$3:$X$4</c:f>
              <c:numCache>
                <c:formatCode>0.000</c:formatCode>
                <c:ptCount val="2"/>
                <c:pt idx="0">
                  <c:v>2.598076211353316</c:v>
                </c:pt>
                <c:pt idx="1">
                  <c:v>0.96073199546427479</c:v>
                </c:pt>
              </c:numCache>
            </c:numRef>
          </c:xVal>
          <c:yVal>
            <c:numRef>
              <c:f>'Foot Vectors'!$Y$3:$Y$4</c:f>
              <c:numCache>
                <c:formatCode>0.000</c:formatCode>
                <c:ptCount val="2"/>
                <c:pt idx="0">
                  <c:v>-1.5</c:v>
                </c:pt>
                <c:pt idx="1">
                  <c:v>-3.270579230496633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CBC-473A-A31F-CDE236311C92}"/>
            </c:ext>
          </c:extLst>
        </c:ser>
        <c:ser>
          <c:idx val="6"/>
          <c:order val="6"/>
          <c:tx>
            <c:strRef>
              <c:f>'Foot Vectors'!$Z$1:$AA$1</c:f>
              <c:strCache>
                <c:ptCount val="1"/>
                <c:pt idx="0">
                  <c:v>Direction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'Foot Vectors'!$Z$3:$Z$4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xVal>
          <c:yVal>
            <c:numRef>
              <c:f>'Foot Vectors'!$AA$3:$AA$4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CBC-473A-A31F-CDE236311C92}"/>
            </c:ext>
          </c:extLst>
        </c:ser>
        <c:ser>
          <c:idx val="7"/>
          <c:order val="7"/>
          <c:tx>
            <c:strRef>
              <c:f>'Foot Vectors'!$AB$1</c:f>
              <c:strCache>
                <c:ptCount val="1"/>
                <c:pt idx="0">
                  <c:v>Rotation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'Foot Vectors'!$AB$3:$AB$4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'Foot Vectors'!$AC$3:$AC$4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CBC-473A-A31F-CDE236311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04320"/>
        <c:axId val="258805304"/>
      </c:scatterChart>
      <c:valAx>
        <c:axId val="258804320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5304"/>
        <c:crosses val="autoZero"/>
        <c:crossBetween val="midCat"/>
        <c:majorUnit val="1"/>
      </c:valAx>
      <c:valAx>
        <c:axId val="258805304"/>
        <c:scaling>
          <c:orientation val="minMax"/>
          <c:max val="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432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548293568665031"/>
          <c:y val="0.16312432928642542"/>
          <c:w val="0.1729086101595454"/>
          <c:h val="0.747642967042912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29156295820872E-2"/>
          <c:y val="4.9261083743842367E-2"/>
          <c:w val="0.71454057805398574"/>
          <c:h val="0.847269953324799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'Foot Vectors'!$N$1:$O$1</c:f>
              <c:strCache>
                <c:ptCount val="1"/>
                <c:pt idx="0">
                  <c:v>Foot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Vectors'!$N$5:$N$6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-0.65133091870577164</c:v>
                </c:pt>
              </c:numCache>
            </c:numRef>
          </c:xVal>
          <c:yVal>
            <c:numRef>
              <c:f>'Foot Vectors'!$O$5:$O$6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-1.9372458971633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81-445D-AE22-CF6CCA23C5E1}"/>
            </c:ext>
          </c:extLst>
        </c:ser>
        <c:ser>
          <c:idx val="1"/>
          <c:order val="1"/>
          <c:tx>
            <c:strRef>
              <c:f>'Foot Vectors'!$P$1:$Q$1</c:f>
              <c:strCache>
                <c:ptCount val="1"/>
                <c:pt idx="0">
                  <c:v>Foot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Vectors'!$P$5:$P$6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-1.3986702816730645E-2</c:v>
                </c:pt>
              </c:numCache>
            </c:numRef>
          </c:xVal>
          <c:yVal>
            <c:numRef>
              <c:f>'Foot Vectors'!$Q$5:$Q$6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-1.166666666666667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81-445D-AE22-CF6CCA23C5E1}"/>
            </c:ext>
          </c:extLst>
        </c:ser>
        <c:ser>
          <c:idx val="2"/>
          <c:order val="2"/>
          <c:tx>
            <c:strRef>
              <c:f>'Foot Vectors'!$R$1:$S$1</c:f>
              <c:strCache>
                <c:ptCount val="1"/>
                <c:pt idx="0">
                  <c:v>Foot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Vectors'!$R$5:$R$6</c:f>
              <c:numCache>
                <c:formatCode>General</c:formatCode>
                <c:ptCount val="2"/>
                <c:pt idx="0">
                  <c:v>0</c:v>
                </c:pt>
                <c:pt idx="1">
                  <c:v>-0.36265578411095856</c:v>
                </c:pt>
              </c:numCache>
            </c:numRef>
          </c:xVal>
          <c:yVal>
            <c:numRef>
              <c:f>'Foot Vectors'!$S$5:$S$6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-0.22942076950336698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81-445D-AE22-CF6CCA23C5E1}"/>
            </c:ext>
          </c:extLst>
        </c:ser>
        <c:ser>
          <c:idx val="3"/>
          <c:order val="3"/>
          <c:tx>
            <c:strRef>
              <c:f>'Foot Vectors'!$T$1:$U$1</c:f>
              <c:strCache>
                <c:ptCount val="1"/>
                <c:pt idx="0">
                  <c:v>Foot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Vectors'!$T$5:$T$6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-1.3486690812942284</c:v>
                </c:pt>
              </c:numCache>
            </c:numRef>
          </c:xVal>
          <c:yVal>
            <c:numRef>
              <c:f>'Foot Vectors'!$U$5:$U$6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-6.2754102836700021E-2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81-445D-AE22-CF6CCA23C5E1}"/>
            </c:ext>
          </c:extLst>
        </c:ser>
        <c:ser>
          <c:idx val="4"/>
          <c:order val="4"/>
          <c:tx>
            <c:strRef>
              <c:f>'Foot Vectors'!$V$1:$W$1</c:f>
              <c:strCache>
                <c:ptCount val="1"/>
                <c:pt idx="0">
                  <c:v>Foot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Vectors'!$V$5:$V$6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-1.9860132971832694</c:v>
                </c:pt>
              </c:numCache>
            </c:numRef>
          </c:xVal>
          <c:yVal>
            <c:numRef>
              <c:f>'Foot Vectors'!$W$5:$W$6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-0.83333333333333304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D81-445D-AE22-CF6CCA23C5E1}"/>
            </c:ext>
          </c:extLst>
        </c:ser>
        <c:ser>
          <c:idx val="5"/>
          <c:order val="5"/>
          <c:tx>
            <c:strRef>
              <c:f>'Foot Vectors'!$X$1:$Y$1</c:f>
              <c:strCache>
                <c:ptCount val="1"/>
                <c:pt idx="0">
                  <c:v>Foot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Vectors'!$X$5:$X$6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-1.6373442158890412</c:v>
                </c:pt>
              </c:numCache>
            </c:numRef>
          </c:xVal>
          <c:yVal>
            <c:numRef>
              <c:f>'Foot Vectors'!$Y$5:$Y$6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-1.770579230496633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D81-445D-AE22-CF6CCA23C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04320"/>
        <c:axId val="258805304"/>
      </c:scatterChart>
      <c:valAx>
        <c:axId val="258804320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5304"/>
        <c:crosses val="autoZero"/>
        <c:crossBetween val="midCat"/>
        <c:majorUnit val="1"/>
      </c:valAx>
      <c:valAx>
        <c:axId val="258805304"/>
        <c:scaling>
          <c:orientation val="minMax"/>
          <c:max val="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432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548293568665031"/>
          <c:y val="0.16312432928642542"/>
          <c:w val="0.1729086101595454"/>
          <c:h val="0.747642967042912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21535354800331E-2"/>
          <c:y val="4.8309178743961352E-2"/>
          <c:w val="0.68725390439515144"/>
          <c:h val="0.85022125857456221"/>
        </c:manualLayout>
      </c:layout>
      <c:scatterChart>
        <c:scatterStyle val="lineMarker"/>
        <c:varyColors val="0"/>
        <c:ser>
          <c:idx val="0"/>
          <c:order val="0"/>
          <c:tx>
            <c:v>Limit (min)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Angles!$E$3:$E$9</c:f>
              <c:numCache>
                <c:formatCode>0.00</c:formatCode>
                <c:ptCount val="7"/>
                <c:pt idx="0">
                  <c:v>7.5777222831138378</c:v>
                </c:pt>
                <c:pt idx="1">
                  <c:v>0</c:v>
                </c:pt>
                <c:pt idx="2">
                  <c:v>-7.5777222831138378</c:v>
                </c:pt>
                <c:pt idx="3">
                  <c:v>-7.5777222831138378</c:v>
                </c:pt>
                <c:pt idx="4">
                  <c:v>0</c:v>
                </c:pt>
                <c:pt idx="5">
                  <c:v>7.5777222831138378</c:v>
                </c:pt>
                <c:pt idx="6" formatCode="0.000">
                  <c:v>7.5777222831138378</c:v>
                </c:pt>
              </c:numCache>
            </c:numRef>
          </c:xVal>
          <c:yVal>
            <c:numRef>
              <c:f>Angles!$F$3:$F$9</c:f>
              <c:numCache>
                <c:formatCode>0.00</c:formatCode>
                <c:ptCount val="7"/>
                <c:pt idx="0">
                  <c:v>4.375</c:v>
                </c:pt>
                <c:pt idx="1">
                  <c:v>8.75</c:v>
                </c:pt>
                <c:pt idx="2">
                  <c:v>4.375</c:v>
                </c:pt>
                <c:pt idx="3">
                  <c:v>-4.375</c:v>
                </c:pt>
                <c:pt idx="4">
                  <c:v>-8.75</c:v>
                </c:pt>
                <c:pt idx="5">
                  <c:v>-4.375</c:v>
                </c:pt>
                <c:pt idx="6" formatCode="0.000">
                  <c:v>4.375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2D-4E55-9A07-439AEDA32BC0}"/>
            </c:ext>
          </c:extLst>
        </c:ser>
        <c:ser>
          <c:idx val="1"/>
          <c:order val="1"/>
          <c:tx>
            <c:v>Limit (max)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Angles!$H$3:$H$9</c:f>
              <c:numCache>
                <c:formatCode>0.00</c:formatCode>
                <c:ptCount val="7"/>
                <c:pt idx="0">
                  <c:v>13.639900109604907</c:v>
                </c:pt>
                <c:pt idx="1">
                  <c:v>0</c:v>
                </c:pt>
                <c:pt idx="2">
                  <c:v>-13.639900109604907</c:v>
                </c:pt>
                <c:pt idx="3">
                  <c:v>-13.639900109604907</c:v>
                </c:pt>
                <c:pt idx="4">
                  <c:v>0</c:v>
                </c:pt>
                <c:pt idx="5">
                  <c:v>13.639900109604907</c:v>
                </c:pt>
                <c:pt idx="6" formatCode="0.000">
                  <c:v>13.639900109604907</c:v>
                </c:pt>
              </c:numCache>
            </c:numRef>
          </c:xVal>
          <c:yVal>
            <c:numRef>
              <c:f>Angles!$I$3:$I$9</c:f>
              <c:numCache>
                <c:formatCode>0.00</c:formatCode>
                <c:ptCount val="7"/>
                <c:pt idx="0">
                  <c:v>7.875</c:v>
                </c:pt>
                <c:pt idx="1">
                  <c:v>15.75</c:v>
                </c:pt>
                <c:pt idx="2">
                  <c:v>7.875</c:v>
                </c:pt>
                <c:pt idx="3">
                  <c:v>-7.875</c:v>
                </c:pt>
                <c:pt idx="4">
                  <c:v>-15.75</c:v>
                </c:pt>
                <c:pt idx="5">
                  <c:v>-7.875</c:v>
                </c:pt>
                <c:pt idx="6" formatCode="0.000">
                  <c:v>7.875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E2D-4E55-9A07-439AEDA32BC0}"/>
            </c:ext>
          </c:extLst>
        </c:ser>
        <c:ser>
          <c:idx val="2"/>
          <c:order val="2"/>
          <c:tx>
            <c:v>Leg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Angles!$N$3:$N$8</c:f>
              <c:numCache>
                <c:formatCode>0.00</c:formatCode>
                <c:ptCount val="6"/>
                <c:pt idx="0">
                  <c:v>5.8456714755449601</c:v>
                </c:pt>
                <c:pt idx="1">
                  <c:v>0</c:v>
                </c:pt>
                <c:pt idx="2">
                  <c:v>-5.8456714755449601</c:v>
                </c:pt>
                <c:pt idx="3">
                  <c:v>-5.8456714755449601</c:v>
                </c:pt>
                <c:pt idx="4">
                  <c:v>0</c:v>
                </c:pt>
                <c:pt idx="5">
                  <c:v>5.8456714755449601</c:v>
                </c:pt>
              </c:numCache>
            </c:numRef>
          </c:xVal>
          <c:yVal>
            <c:numRef>
              <c:f>Angles!$O$3:$O$8</c:f>
              <c:numCache>
                <c:formatCode>0.00</c:formatCode>
                <c:ptCount val="6"/>
                <c:pt idx="0">
                  <c:v>3.375</c:v>
                </c:pt>
                <c:pt idx="1">
                  <c:v>6.75</c:v>
                </c:pt>
                <c:pt idx="2">
                  <c:v>3.375</c:v>
                </c:pt>
                <c:pt idx="3">
                  <c:v>-3.375</c:v>
                </c:pt>
                <c:pt idx="4">
                  <c:v>-6.75</c:v>
                </c:pt>
                <c:pt idx="5">
                  <c:v>-3.375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E2D-4E55-9A07-439AEDA32BC0}"/>
            </c:ext>
          </c:extLst>
        </c:ser>
        <c:ser>
          <c:idx val="3"/>
          <c:order val="3"/>
          <c:tx>
            <c:v>Global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Angles!$R$3:$R$8</c:f>
              <c:numCache>
                <c:formatCode>0.00</c:formatCode>
                <c:ptCount val="6"/>
                <c:pt idx="0">
                  <c:v>6.7116968793293985</c:v>
                </c:pt>
                <c:pt idx="1">
                  <c:v>1</c:v>
                </c:pt>
                <c:pt idx="2">
                  <c:v>-6.2116968793293985</c:v>
                </c:pt>
                <c:pt idx="3">
                  <c:v>-7.2116968793293985</c:v>
                </c:pt>
                <c:pt idx="4">
                  <c:v>-1.0000000000000002</c:v>
                </c:pt>
                <c:pt idx="5">
                  <c:v>6.2116968793293985</c:v>
                </c:pt>
              </c:numCache>
            </c:numRef>
          </c:xVal>
          <c:yVal>
            <c:numRef>
              <c:f>Angles!$S$3:$S$8</c:f>
              <c:numCache>
                <c:formatCode>0.00</c:formatCode>
                <c:ptCount val="6"/>
                <c:pt idx="0">
                  <c:v>3.875</c:v>
                </c:pt>
                <c:pt idx="1">
                  <c:v>7.75</c:v>
                </c:pt>
                <c:pt idx="2">
                  <c:v>4.7410254037844384</c:v>
                </c:pt>
                <c:pt idx="3">
                  <c:v>-3.0089745962155616</c:v>
                </c:pt>
                <c:pt idx="4">
                  <c:v>-7.75</c:v>
                </c:pt>
                <c:pt idx="5">
                  <c:v>-4.7410254037844393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E2D-4E55-9A07-439AEDA32BC0}"/>
            </c:ext>
          </c:extLst>
        </c:ser>
        <c:ser>
          <c:idx val="4"/>
          <c:order val="4"/>
          <c:tx>
            <c:v>Datum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0">
                <a:solidFill>
                  <a:schemeClr val="accent5"/>
                </a:solidFill>
              </a:ln>
              <a:effectLst/>
            </c:spPr>
          </c:marker>
          <c:xVal>
            <c:numRef>
              <c:f>Angles!$K$3:$K$8</c:f>
              <c:numCache>
                <c:formatCode>0.00</c:formatCode>
                <c:ptCount val="6"/>
                <c:pt idx="0">
                  <c:v>10.608811196359373</c:v>
                </c:pt>
                <c:pt idx="1">
                  <c:v>0</c:v>
                </c:pt>
                <c:pt idx="2">
                  <c:v>-10.608811196359373</c:v>
                </c:pt>
                <c:pt idx="3">
                  <c:v>-10.608811196359373</c:v>
                </c:pt>
                <c:pt idx="4">
                  <c:v>0</c:v>
                </c:pt>
                <c:pt idx="5">
                  <c:v>10.608811196359373</c:v>
                </c:pt>
              </c:numCache>
            </c:numRef>
          </c:xVal>
          <c:yVal>
            <c:numRef>
              <c:f>Angles!$L$3:$L$8</c:f>
              <c:numCache>
                <c:formatCode>0.00</c:formatCode>
                <c:ptCount val="6"/>
                <c:pt idx="0">
                  <c:v>6.125</c:v>
                </c:pt>
                <c:pt idx="1">
                  <c:v>12.25</c:v>
                </c:pt>
                <c:pt idx="2">
                  <c:v>6.125</c:v>
                </c:pt>
                <c:pt idx="3">
                  <c:v>-6.125</c:v>
                </c:pt>
                <c:pt idx="4">
                  <c:v>-12.25</c:v>
                </c:pt>
                <c:pt idx="5">
                  <c:v>-6.125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E2D-4E55-9A07-439AEDA32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04320"/>
        <c:axId val="258805304"/>
      </c:scatterChart>
      <c:valAx>
        <c:axId val="258804320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5304"/>
        <c:crosses val="autoZero"/>
        <c:crossBetween val="midCat"/>
      </c:valAx>
      <c:valAx>
        <c:axId val="258805304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4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21535354800331E-2"/>
          <c:y val="4.8309178743961352E-2"/>
          <c:w val="0.68725390439515144"/>
          <c:h val="0.8502212585745622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Angles!$E$3:$E$9</c:f>
              <c:numCache>
                <c:formatCode>0.00</c:formatCode>
                <c:ptCount val="7"/>
                <c:pt idx="0">
                  <c:v>7.5777222831138378</c:v>
                </c:pt>
                <c:pt idx="1">
                  <c:v>0</c:v>
                </c:pt>
                <c:pt idx="2">
                  <c:v>-7.5777222831138378</c:v>
                </c:pt>
                <c:pt idx="3">
                  <c:v>-7.5777222831138378</c:v>
                </c:pt>
                <c:pt idx="4">
                  <c:v>0</c:v>
                </c:pt>
                <c:pt idx="5">
                  <c:v>7.5777222831138378</c:v>
                </c:pt>
                <c:pt idx="6" formatCode="0.000">
                  <c:v>7.5777222831138378</c:v>
                </c:pt>
              </c:numCache>
            </c:numRef>
          </c:xVal>
          <c:yVal>
            <c:numRef>
              <c:f>Angles!$F$3:$F$9</c:f>
              <c:numCache>
                <c:formatCode>0.00</c:formatCode>
                <c:ptCount val="7"/>
                <c:pt idx="0">
                  <c:v>4.375</c:v>
                </c:pt>
                <c:pt idx="1">
                  <c:v>8.75</c:v>
                </c:pt>
                <c:pt idx="2">
                  <c:v>4.375</c:v>
                </c:pt>
                <c:pt idx="3">
                  <c:v>-4.375</c:v>
                </c:pt>
                <c:pt idx="4">
                  <c:v>-8.75</c:v>
                </c:pt>
                <c:pt idx="5">
                  <c:v>-4.375</c:v>
                </c:pt>
                <c:pt idx="6" formatCode="0.000">
                  <c:v>4.375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Limit (min)</c:v>
                </c15:tx>
              </c15:filteredSeriesTitle>
            </c:ext>
            <c:ext xmlns:c16="http://schemas.microsoft.com/office/drawing/2014/chart" uri="{C3380CC4-5D6E-409C-BE32-E72D297353CC}">
              <c16:uniqueId val="{00000000-9E34-4D64-9F38-B6A1BF4AD63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Angles!$H$3:$H$9</c:f>
              <c:numCache>
                <c:formatCode>0.00</c:formatCode>
                <c:ptCount val="7"/>
                <c:pt idx="0">
                  <c:v>13.639900109604907</c:v>
                </c:pt>
                <c:pt idx="1">
                  <c:v>0</c:v>
                </c:pt>
                <c:pt idx="2">
                  <c:v>-13.639900109604907</c:v>
                </c:pt>
                <c:pt idx="3">
                  <c:v>-13.639900109604907</c:v>
                </c:pt>
                <c:pt idx="4">
                  <c:v>0</c:v>
                </c:pt>
                <c:pt idx="5">
                  <c:v>13.639900109604907</c:v>
                </c:pt>
                <c:pt idx="6" formatCode="0.000">
                  <c:v>13.639900109604907</c:v>
                </c:pt>
              </c:numCache>
            </c:numRef>
          </c:xVal>
          <c:yVal>
            <c:numRef>
              <c:f>Angles!$I$3:$I$9</c:f>
              <c:numCache>
                <c:formatCode>0.00</c:formatCode>
                <c:ptCount val="7"/>
                <c:pt idx="0">
                  <c:v>7.875</c:v>
                </c:pt>
                <c:pt idx="1">
                  <c:v>15.75</c:v>
                </c:pt>
                <c:pt idx="2">
                  <c:v>7.875</c:v>
                </c:pt>
                <c:pt idx="3">
                  <c:v>-7.875</c:v>
                </c:pt>
                <c:pt idx="4">
                  <c:v>-15.75</c:v>
                </c:pt>
                <c:pt idx="5">
                  <c:v>-7.875</c:v>
                </c:pt>
                <c:pt idx="6" formatCode="0.000">
                  <c:v>7.875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Limit (max)</c:v>
                </c15:tx>
              </c15:filteredSeriesTitle>
            </c:ext>
            <c:ext xmlns:c16="http://schemas.microsoft.com/office/drawing/2014/chart" uri="{C3380CC4-5D6E-409C-BE32-E72D297353CC}">
              <c16:uniqueId val="{00000001-9E34-4D64-9F38-B6A1BF4AD63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Angles!$N$3:$N$8</c:f>
              <c:numCache>
                <c:formatCode>0.00</c:formatCode>
                <c:ptCount val="6"/>
                <c:pt idx="0">
                  <c:v>5.8456714755449601</c:v>
                </c:pt>
                <c:pt idx="1">
                  <c:v>0</c:v>
                </c:pt>
                <c:pt idx="2">
                  <c:v>-5.8456714755449601</c:v>
                </c:pt>
                <c:pt idx="3">
                  <c:v>-5.8456714755449601</c:v>
                </c:pt>
                <c:pt idx="4">
                  <c:v>0</c:v>
                </c:pt>
                <c:pt idx="5">
                  <c:v>5.8456714755449601</c:v>
                </c:pt>
              </c:numCache>
            </c:numRef>
          </c:xVal>
          <c:yVal>
            <c:numRef>
              <c:f>Angles!$O$3:$O$8</c:f>
              <c:numCache>
                <c:formatCode>0.00</c:formatCode>
                <c:ptCount val="6"/>
                <c:pt idx="0">
                  <c:v>3.375</c:v>
                </c:pt>
                <c:pt idx="1">
                  <c:v>6.75</c:v>
                </c:pt>
                <c:pt idx="2">
                  <c:v>3.375</c:v>
                </c:pt>
                <c:pt idx="3">
                  <c:v>-3.375</c:v>
                </c:pt>
                <c:pt idx="4">
                  <c:v>-6.75</c:v>
                </c:pt>
                <c:pt idx="5">
                  <c:v>-3.375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Leg Base</c:v>
                </c15:tx>
              </c15:filteredSeriesTitle>
            </c:ext>
            <c:ext xmlns:c16="http://schemas.microsoft.com/office/drawing/2014/chart" uri="{C3380CC4-5D6E-409C-BE32-E72D297353CC}">
              <c16:uniqueId val="{00000002-9E34-4D64-9F38-B6A1BF4AD63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Angles!$R$3:$R$8</c:f>
              <c:numCache>
                <c:formatCode>0.00</c:formatCode>
                <c:ptCount val="6"/>
                <c:pt idx="0">
                  <c:v>6.7116968793293985</c:v>
                </c:pt>
                <c:pt idx="1">
                  <c:v>1</c:v>
                </c:pt>
                <c:pt idx="2">
                  <c:v>-6.2116968793293985</c:v>
                </c:pt>
                <c:pt idx="3">
                  <c:v>-7.2116968793293985</c:v>
                </c:pt>
                <c:pt idx="4">
                  <c:v>-1.0000000000000002</c:v>
                </c:pt>
                <c:pt idx="5">
                  <c:v>6.2116968793293985</c:v>
                </c:pt>
              </c:numCache>
            </c:numRef>
          </c:xVal>
          <c:yVal>
            <c:numRef>
              <c:f>Angles!$S$3:$S$8</c:f>
              <c:numCache>
                <c:formatCode>0.00</c:formatCode>
                <c:ptCount val="6"/>
                <c:pt idx="0">
                  <c:v>3.875</c:v>
                </c:pt>
                <c:pt idx="1">
                  <c:v>7.75</c:v>
                </c:pt>
                <c:pt idx="2">
                  <c:v>4.7410254037844384</c:v>
                </c:pt>
                <c:pt idx="3">
                  <c:v>-3.0089745962155616</c:v>
                </c:pt>
                <c:pt idx="4">
                  <c:v>-7.75</c:v>
                </c:pt>
                <c:pt idx="5">
                  <c:v>-4.7410254037844393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Global</c:v>
                </c15:tx>
              </c15:filteredSeriesTitle>
            </c:ext>
            <c:ext xmlns:c16="http://schemas.microsoft.com/office/drawing/2014/chart" uri="{C3380CC4-5D6E-409C-BE32-E72D297353CC}">
              <c16:uniqueId val="{00000003-9E34-4D64-9F38-B6A1BF4AD63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0">
                <a:solidFill>
                  <a:schemeClr val="accent5"/>
                </a:solidFill>
              </a:ln>
              <a:effectLst/>
            </c:spPr>
          </c:marker>
          <c:xVal>
            <c:numRef>
              <c:f>Angles!$K$3:$K$8</c:f>
              <c:numCache>
                <c:formatCode>0.00</c:formatCode>
                <c:ptCount val="6"/>
                <c:pt idx="0">
                  <c:v>10.608811196359373</c:v>
                </c:pt>
                <c:pt idx="1">
                  <c:v>0</c:v>
                </c:pt>
                <c:pt idx="2">
                  <c:v>-10.608811196359373</c:v>
                </c:pt>
                <c:pt idx="3">
                  <c:v>-10.608811196359373</c:v>
                </c:pt>
                <c:pt idx="4">
                  <c:v>0</c:v>
                </c:pt>
                <c:pt idx="5">
                  <c:v>10.608811196359373</c:v>
                </c:pt>
              </c:numCache>
            </c:numRef>
          </c:xVal>
          <c:yVal>
            <c:numRef>
              <c:f>Angles!$L$3:$L$8</c:f>
              <c:numCache>
                <c:formatCode>0.00</c:formatCode>
                <c:ptCount val="6"/>
                <c:pt idx="0">
                  <c:v>6.125</c:v>
                </c:pt>
                <c:pt idx="1">
                  <c:v>12.25</c:v>
                </c:pt>
                <c:pt idx="2">
                  <c:v>6.125</c:v>
                </c:pt>
                <c:pt idx="3">
                  <c:v>-6.125</c:v>
                </c:pt>
                <c:pt idx="4">
                  <c:v>-12.25</c:v>
                </c:pt>
                <c:pt idx="5">
                  <c:v>-6.125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Datum</c:v>
                </c15:tx>
              </c15:filteredSeriesTitle>
            </c:ext>
            <c:ext xmlns:c16="http://schemas.microsoft.com/office/drawing/2014/chart" uri="{C3380CC4-5D6E-409C-BE32-E72D297353CC}">
              <c16:uniqueId val="{00000004-9E34-4D64-9F38-B6A1BF4AD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04320"/>
        <c:axId val="258805304"/>
      </c:scatterChart>
      <c:valAx>
        <c:axId val="258804320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5304"/>
        <c:crosses val="autoZero"/>
        <c:crossBetween val="midCat"/>
      </c:valAx>
      <c:valAx>
        <c:axId val="258805304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4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29156295820872E-2"/>
          <c:y val="4.9261083743842367E-2"/>
          <c:w val="0.71454057805398574"/>
          <c:h val="0.847269953324799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'Foot Vectors'!$N$1:$O$1</c:f>
              <c:strCache>
                <c:ptCount val="1"/>
                <c:pt idx="0">
                  <c:v>Foot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Vectors'!$N$3:$N$4</c:f>
              <c:numCache>
                <c:formatCode>0.000</c:formatCode>
                <c:ptCount val="2"/>
                <c:pt idx="0">
                  <c:v>2.598076211353316</c:v>
                </c:pt>
                <c:pt idx="1">
                  <c:v>1.9467452926475444</c:v>
                </c:pt>
              </c:numCache>
            </c:numRef>
          </c:xVal>
          <c:yVal>
            <c:numRef>
              <c:f>'Foot Vectors'!$O$3:$O$4</c:f>
              <c:numCache>
                <c:formatCode>0.000</c:formatCode>
                <c:ptCount val="2"/>
                <c:pt idx="0">
                  <c:v>1.5</c:v>
                </c:pt>
                <c:pt idx="1">
                  <c:v>-0.43724589716329998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0-4B9E-812B-4508C8E444CE}"/>
            </c:ext>
          </c:extLst>
        </c:ser>
        <c:ser>
          <c:idx val="1"/>
          <c:order val="1"/>
          <c:tx>
            <c:strRef>
              <c:f>'Foot Vectors'!$P$1:$Q$1</c:f>
              <c:strCache>
                <c:ptCount val="1"/>
                <c:pt idx="0">
                  <c:v>Foot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Vectors'!$P$3:$P$4</c:f>
              <c:numCache>
                <c:formatCode>0.000</c:formatCode>
                <c:ptCount val="2"/>
                <c:pt idx="0">
                  <c:v>0</c:v>
                </c:pt>
                <c:pt idx="1">
                  <c:v>-1.3986702816730645E-2</c:v>
                </c:pt>
              </c:numCache>
            </c:numRef>
          </c:xVal>
          <c:yVal>
            <c:numRef>
              <c:f>'Foot Vectors'!$Q$3:$Q$4</c:f>
              <c:numCache>
                <c:formatCode>0.000</c:formatCode>
                <c:ptCount val="2"/>
                <c:pt idx="0">
                  <c:v>3</c:v>
                </c:pt>
                <c:pt idx="1">
                  <c:v>1.833333333333333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20-4B9E-812B-4508C8E444CE}"/>
            </c:ext>
          </c:extLst>
        </c:ser>
        <c:ser>
          <c:idx val="2"/>
          <c:order val="2"/>
          <c:tx>
            <c:strRef>
              <c:f>'Foot Vectors'!$R$1:$S$1</c:f>
              <c:strCache>
                <c:ptCount val="1"/>
                <c:pt idx="0">
                  <c:v>Foot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Vectors'!$R$3:$R$4</c:f>
              <c:numCache>
                <c:formatCode>0.000</c:formatCode>
                <c:ptCount val="2"/>
                <c:pt idx="0">
                  <c:v>-2.598076211353316</c:v>
                </c:pt>
                <c:pt idx="1">
                  <c:v>-2.9607319954642746</c:v>
                </c:pt>
              </c:numCache>
            </c:numRef>
          </c:xVal>
          <c:yVal>
            <c:numRef>
              <c:f>'Foot Vectors'!$S$3:$S$4</c:f>
              <c:numCache>
                <c:formatCode>0.000</c:formatCode>
                <c:ptCount val="2"/>
                <c:pt idx="0">
                  <c:v>1.5</c:v>
                </c:pt>
                <c:pt idx="1">
                  <c:v>1.270579230496633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20-4B9E-812B-4508C8E444CE}"/>
            </c:ext>
          </c:extLst>
        </c:ser>
        <c:ser>
          <c:idx val="3"/>
          <c:order val="3"/>
          <c:tx>
            <c:strRef>
              <c:f>'Foot Vectors'!$T$1:$U$1</c:f>
              <c:strCache>
                <c:ptCount val="1"/>
                <c:pt idx="0">
                  <c:v>Foot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Vectors'!$T$3:$T$4</c:f>
              <c:numCache>
                <c:formatCode>0.000</c:formatCode>
                <c:ptCount val="2"/>
                <c:pt idx="0">
                  <c:v>-2.598076211353316</c:v>
                </c:pt>
                <c:pt idx="1">
                  <c:v>-3.9467452926475444</c:v>
                </c:pt>
              </c:numCache>
            </c:numRef>
          </c:xVal>
          <c:yVal>
            <c:numRef>
              <c:f>'Foot Vectors'!$U$3:$U$4</c:f>
              <c:numCache>
                <c:formatCode>0.000</c:formatCode>
                <c:ptCount val="2"/>
                <c:pt idx="0">
                  <c:v>-1.5</c:v>
                </c:pt>
                <c:pt idx="1">
                  <c:v>-1.5627541028367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20-4B9E-812B-4508C8E444CE}"/>
            </c:ext>
          </c:extLst>
        </c:ser>
        <c:ser>
          <c:idx val="4"/>
          <c:order val="4"/>
          <c:tx>
            <c:strRef>
              <c:f>'Foot Vectors'!$V$1:$W$1</c:f>
              <c:strCache>
                <c:ptCount val="1"/>
                <c:pt idx="0">
                  <c:v>Foot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Vectors'!$V$3:$V$4</c:f>
              <c:numCache>
                <c:formatCode>0.000</c:formatCode>
                <c:ptCount val="2"/>
                <c:pt idx="0">
                  <c:v>0</c:v>
                </c:pt>
                <c:pt idx="1">
                  <c:v>-1.9860132971832694</c:v>
                </c:pt>
              </c:numCache>
            </c:numRef>
          </c:xVal>
          <c:yVal>
            <c:numRef>
              <c:f>'Foot Vectors'!$W$3:$W$4</c:f>
              <c:numCache>
                <c:formatCode>0.000</c:formatCode>
                <c:ptCount val="2"/>
                <c:pt idx="0">
                  <c:v>-3</c:v>
                </c:pt>
                <c:pt idx="1">
                  <c:v>-3.833333333333333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E20-4B9E-812B-4508C8E444CE}"/>
            </c:ext>
          </c:extLst>
        </c:ser>
        <c:ser>
          <c:idx val="5"/>
          <c:order val="5"/>
          <c:tx>
            <c:strRef>
              <c:f>'Foot Vectors'!$X$1:$Y$1</c:f>
              <c:strCache>
                <c:ptCount val="1"/>
                <c:pt idx="0">
                  <c:v>Foot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Vectors'!$X$3:$X$4</c:f>
              <c:numCache>
                <c:formatCode>0.000</c:formatCode>
                <c:ptCount val="2"/>
                <c:pt idx="0">
                  <c:v>2.598076211353316</c:v>
                </c:pt>
                <c:pt idx="1">
                  <c:v>0.96073199546427479</c:v>
                </c:pt>
              </c:numCache>
            </c:numRef>
          </c:xVal>
          <c:yVal>
            <c:numRef>
              <c:f>'Foot Vectors'!$Y$3:$Y$4</c:f>
              <c:numCache>
                <c:formatCode>0.000</c:formatCode>
                <c:ptCount val="2"/>
                <c:pt idx="0">
                  <c:v>-1.5</c:v>
                </c:pt>
                <c:pt idx="1">
                  <c:v>-3.270579230496633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E20-4B9E-812B-4508C8E444CE}"/>
            </c:ext>
          </c:extLst>
        </c:ser>
        <c:ser>
          <c:idx val="6"/>
          <c:order val="6"/>
          <c:tx>
            <c:strRef>
              <c:f>'Foot Vectors'!$Z$1:$AA$1</c:f>
              <c:strCache>
                <c:ptCount val="1"/>
                <c:pt idx="0">
                  <c:v>Direction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'Foot Vectors'!$Z$3:$Z$4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xVal>
          <c:yVal>
            <c:numRef>
              <c:f>'Foot Vectors'!$AA$3:$AA$4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E20-4B9E-812B-4508C8E444CE}"/>
            </c:ext>
          </c:extLst>
        </c:ser>
        <c:ser>
          <c:idx val="7"/>
          <c:order val="7"/>
          <c:tx>
            <c:strRef>
              <c:f>'Foot Vectors'!$AB$1</c:f>
              <c:strCache>
                <c:ptCount val="1"/>
                <c:pt idx="0">
                  <c:v>Rotation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'Foot Vectors'!$AB$3:$AB$4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'Foot Vectors'!$AC$3:$AC$4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E20-4B9E-812B-4508C8E44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04320"/>
        <c:axId val="258805304"/>
      </c:scatterChart>
      <c:valAx>
        <c:axId val="258804320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5304"/>
        <c:crosses val="autoZero"/>
        <c:crossBetween val="midCat"/>
        <c:majorUnit val="1"/>
      </c:valAx>
      <c:valAx>
        <c:axId val="258805304"/>
        <c:scaling>
          <c:orientation val="minMax"/>
          <c:max val="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432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548293568665031"/>
          <c:y val="0.16312432928642542"/>
          <c:w val="0.1729086101595454"/>
          <c:h val="0.747642967042912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21535354800331E-2"/>
          <c:y val="4.8309178743961352E-2"/>
          <c:w val="0.68725390439515144"/>
          <c:h val="0.8502212585745622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Angles!$E$3:$E$9</c:f>
              <c:numCache>
                <c:formatCode>0.00</c:formatCode>
                <c:ptCount val="7"/>
                <c:pt idx="0">
                  <c:v>7.5777222831138378</c:v>
                </c:pt>
                <c:pt idx="1">
                  <c:v>0</c:v>
                </c:pt>
                <c:pt idx="2">
                  <c:v>-7.5777222831138378</c:v>
                </c:pt>
                <c:pt idx="3">
                  <c:v>-7.5777222831138378</c:v>
                </c:pt>
                <c:pt idx="4">
                  <c:v>0</c:v>
                </c:pt>
                <c:pt idx="5">
                  <c:v>7.5777222831138378</c:v>
                </c:pt>
                <c:pt idx="6" formatCode="0.000">
                  <c:v>7.5777222831138378</c:v>
                </c:pt>
              </c:numCache>
            </c:numRef>
          </c:xVal>
          <c:yVal>
            <c:numRef>
              <c:f>Angles!$F$3:$F$9</c:f>
              <c:numCache>
                <c:formatCode>0.00</c:formatCode>
                <c:ptCount val="7"/>
                <c:pt idx="0">
                  <c:v>4.375</c:v>
                </c:pt>
                <c:pt idx="1">
                  <c:v>8.75</c:v>
                </c:pt>
                <c:pt idx="2">
                  <c:v>4.375</c:v>
                </c:pt>
                <c:pt idx="3">
                  <c:v>-4.375</c:v>
                </c:pt>
                <c:pt idx="4">
                  <c:v>-8.75</c:v>
                </c:pt>
                <c:pt idx="5">
                  <c:v>-4.375</c:v>
                </c:pt>
                <c:pt idx="6" formatCode="0.000">
                  <c:v>4.375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Limit (min)</c:v>
                </c15:tx>
              </c15:filteredSeriesTitle>
            </c:ext>
            <c:ext xmlns:c16="http://schemas.microsoft.com/office/drawing/2014/chart" uri="{C3380CC4-5D6E-409C-BE32-E72D297353CC}">
              <c16:uniqueId val="{00000000-29A4-4280-A06F-92D7D821B4E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Angles!$H$3:$H$9</c:f>
              <c:numCache>
                <c:formatCode>0.00</c:formatCode>
                <c:ptCount val="7"/>
                <c:pt idx="0">
                  <c:v>13.639900109604907</c:v>
                </c:pt>
                <c:pt idx="1">
                  <c:v>0</c:v>
                </c:pt>
                <c:pt idx="2">
                  <c:v>-13.639900109604907</c:v>
                </c:pt>
                <c:pt idx="3">
                  <c:v>-13.639900109604907</c:v>
                </c:pt>
                <c:pt idx="4">
                  <c:v>0</c:v>
                </c:pt>
                <c:pt idx="5">
                  <c:v>13.639900109604907</c:v>
                </c:pt>
                <c:pt idx="6" formatCode="0.000">
                  <c:v>13.639900109604907</c:v>
                </c:pt>
              </c:numCache>
            </c:numRef>
          </c:xVal>
          <c:yVal>
            <c:numRef>
              <c:f>Angles!$I$3:$I$9</c:f>
              <c:numCache>
                <c:formatCode>0.00</c:formatCode>
                <c:ptCount val="7"/>
                <c:pt idx="0">
                  <c:v>7.875</c:v>
                </c:pt>
                <c:pt idx="1">
                  <c:v>15.75</c:v>
                </c:pt>
                <c:pt idx="2">
                  <c:v>7.875</c:v>
                </c:pt>
                <c:pt idx="3">
                  <c:v>-7.875</c:v>
                </c:pt>
                <c:pt idx="4">
                  <c:v>-15.75</c:v>
                </c:pt>
                <c:pt idx="5">
                  <c:v>-7.875</c:v>
                </c:pt>
                <c:pt idx="6" formatCode="0.000">
                  <c:v>7.875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Limit (max)</c:v>
                </c15:tx>
              </c15:filteredSeriesTitle>
            </c:ext>
            <c:ext xmlns:c16="http://schemas.microsoft.com/office/drawing/2014/chart" uri="{C3380CC4-5D6E-409C-BE32-E72D297353CC}">
              <c16:uniqueId val="{00000001-29A4-4280-A06F-92D7D821B4E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Angles!$N$3:$N$8</c:f>
              <c:numCache>
                <c:formatCode>0.00</c:formatCode>
                <c:ptCount val="6"/>
                <c:pt idx="0">
                  <c:v>5.8456714755449601</c:v>
                </c:pt>
                <c:pt idx="1">
                  <c:v>0</c:v>
                </c:pt>
                <c:pt idx="2">
                  <c:v>-5.8456714755449601</c:v>
                </c:pt>
                <c:pt idx="3">
                  <c:v>-5.8456714755449601</c:v>
                </c:pt>
                <c:pt idx="4">
                  <c:v>0</c:v>
                </c:pt>
                <c:pt idx="5">
                  <c:v>5.8456714755449601</c:v>
                </c:pt>
              </c:numCache>
            </c:numRef>
          </c:xVal>
          <c:yVal>
            <c:numRef>
              <c:f>Angles!$O$3:$O$8</c:f>
              <c:numCache>
                <c:formatCode>0.00</c:formatCode>
                <c:ptCount val="6"/>
                <c:pt idx="0">
                  <c:v>3.375</c:v>
                </c:pt>
                <c:pt idx="1">
                  <c:v>6.75</c:v>
                </c:pt>
                <c:pt idx="2">
                  <c:v>3.375</c:v>
                </c:pt>
                <c:pt idx="3">
                  <c:v>-3.375</c:v>
                </c:pt>
                <c:pt idx="4">
                  <c:v>-6.75</c:v>
                </c:pt>
                <c:pt idx="5">
                  <c:v>-3.375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Leg Base</c:v>
                </c15:tx>
              </c15:filteredSeriesTitle>
            </c:ext>
            <c:ext xmlns:c16="http://schemas.microsoft.com/office/drawing/2014/chart" uri="{C3380CC4-5D6E-409C-BE32-E72D297353CC}">
              <c16:uniqueId val="{00000002-29A4-4280-A06F-92D7D821B4E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Angles!$R$3:$R$8</c:f>
              <c:numCache>
                <c:formatCode>0.00</c:formatCode>
                <c:ptCount val="6"/>
                <c:pt idx="0">
                  <c:v>6.7116968793293985</c:v>
                </c:pt>
                <c:pt idx="1">
                  <c:v>1</c:v>
                </c:pt>
                <c:pt idx="2">
                  <c:v>-6.2116968793293985</c:v>
                </c:pt>
                <c:pt idx="3">
                  <c:v>-7.2116968793293985</c:v>
                </c:pt>
                <c:pt idx="4">
                  <c:v>-1.0000000000000002</c:v>
                </c:pt>
                <c:pt idx="5">
                  <c:v>6.2116968793293985</c:v>
                </c:pt>
              </c:numCache>
            </c:numRef>
          </c:xVal>
          <c:yVal>
            <c:numRef>
              <c:f>Angles!$S$3:$S$8</c:f>
              <c:numCache>
                <c:formatCode>0.00</c:formatCode>
                <c:ptCount val="6"/>
                <c:pt idx="0">
                  <c:v>3.875</c:v>
                </c:pt>
                <c:pt idx="1">
                  <c:v>7.75</c:v>
                </c:pt>
                <c:pt idx="2">
                  <c:v>4.7410254037844384</c:v>
                </c:pt>
                <c:pt idx="3">
                  <c:v>-3.0089745962155616</c:v>
                </c:pt>
                <c:pt idx="4">
                  <c:v>-7.75</c:v>
                </c:pt>
                <c:pt idx="5">
                  <c:v>-4.7410254037844393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Global</c:v>
                </c15:tx>
              </c15:filteredSeriesTitle>
            </c:ext>
            <c:ext xmlns:c16="http://schemas.microsoft.com/office/drawing/2014/chart" uri="{C3380CC4-5D6E-409C-BE32-E72D297353CC}">
              <c16:uniqueId val="{00000003-29A4-4280-A06F-92D7D821B4E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0">
                <a:solidFill>
                  <a:schemeClr val="accent5"/>
                </a:solidFill>
              </a:ln>
              <a:effectLst/>
            </c:spPr>
          </c:marker>
          <c:xVal>
            <c:numRef>
              <c:f>Angles!$K$3:$K$8</c:f>
              <c:numCache>
                <c:formatCode>0.00</c:formatCode>
                <c:ptCount val="6"/>
                <c:pt idx="0">
                  <c:v>10.608811196359373</c:v>
                </c:pt>
                <c:pt idx="1">
                  <c:v>0</c:v>
                </c:pt>
                <c:pt idx="2">
                  <c:v>-10.608811196359373</c:v>
                </c:pt>
                <c:pt idx="3">
                  <c:v>-10.608811196359373</c:v>
                </c:pt>
                <c:pt idx="4">
                  <c:v>0</c:v>
                </c:pt>
                <c:pt idx="5">
                  <c:v>10.608811196359373</c:v>
                </c:pt>
              </c:numCache>
            </c:numRef>
          </c:xVal>
          <c:yVal>
            <c:numRef>
              <c:f>Angles!$L$3:$L$8</c:f>
              <c:numCache>
                <c:formatCode>0.00</c:formatCode>
                <c:ptCount val="6"/>
                <c:pt idx="0">
                  <c:v>6.125</c:v>
                </c:pt>
                <c:pt idx="1">
                  <c:v>12.25</c:v>
                </c:pt>
                <c:pt idx="2">
                  <c:v>6.125</c:v>
                </c:pt>
                <c:pt idx="3">
                  <c:v>-6.125</c:v>
                </c:pt>
                <c:pt idx="4">
                  <c:v>-12.25</c:v>
                </c:pt>
                <c:pt idx="5">
                  <c:v>-6.125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Datum</c:v>
                </c15:tx>
              </c15:filteredSeriesTitle>
            </c:ext>
            <c:ext xmlns:c16="http://schemas.microsoft.com/office/drawing/2014/chart" uri="{C3380CC4-5D6E-409C-BE32-E72D297353CC}">
              <c16:uniqueId val="{00000004-29A4-4280-A06F-92D7D821B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04320"/>
        <c:axId val="258805304"/>
      </c:scatterChart>
      <c:valAx>
        <c:axId val="258804320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5304"/>
        <c:crosses val="autoZero"/>
        <c:crossBetween val="midCat"/>
      </c:valAx>
      <c:valAx>
        <c:axId val="258805304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4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E$15" inc="50" max="200" page="10" val="0"/>
</file>

<file path=xl/ctrlProps/ctrlProp2.xml><?xml version="1.0" encoding="utf-8"?>
<formControlPr xmlns="http://schemas.microsoft.com/office/spreadsheetml/2009/9/main" objectType="Spin" dx="26" max="30000" page="10" val="0"/>
</file>

<file path=xl/ctrlProps/ctrlProp3.xml><?xml version="1.0" encoding="utf-8"?>
<formControlPr xmlns="http://schemas.microsoft.com/office/spreadsheetml/2009/9/main" objectType="Spin" dx="26" max="30000" page="10" val="0"/>
</file>

<file path=xl/ctrlProps/ctrlProp4.xml><?xml version="1.0" encoding="utf-8"?>
<formControlPr xmlns="http://schemas.microsoft.com/office/spreadsheetml/2009/9/main" objectType="Spin" dx="26" fmlaLink="$E$16" inc="50" max="200" page="10" val="0"/>
</file>

<file path=xl/ctrlProps/ctrlProp5.xml><?xml version="1.0" encoding="utf-8"?>
<formControlPr xmlns="http://schemas.microsoft.com/office/spreadsheetml/2009/9/main" objectType="Spin" dx="26" fmlaLink="$E$17" inc="50" max="200" page="1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53788</xdr:colOff>
      <xdr:row>13</xdr:row>
      <xdr:rowOff>116540</xdr:rowOff>
    </xdr:from>
    <xdr:to>
      <xdr:col>11</xdr:col>
      <xdr:colOff>528920</xdr:colOff>
      <xdr:row>32</xdr:row>
      <xdr:rowOff>116541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9525</xdr:rowOff>
        </xdr:from>
        <xdr:to>
          <xdr:col>4</xdr:col>
          <xdr:colOff>190500</xdr:colOff>
          <xdr:row>14</xdr:row>
          <xdr:rowOff>171450</xdr:rowOff>
        </xdr:to>
        <xdr:sp macro="" textlink="">
          <xdr:nvSpPr>
            <xdr:cNvPr id="3078" name="Spinner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15</xdr:row>
          <xdr:rowOff>9525</xdr:rowOff>
        </xdr:from>
        <xdr:to>
          <xdr:col>4</xdr:col>
          <xdr:colOff>190500</xdr:colOff>
          <xdr:row>15</xdr:row>
          <xdr:rowOff>171450</xdr:rowOff>
        </xdr:to>
        <xdr:sp macro="" textlink="">
          <xdr:nvSpPr>
            <xdr:cNvPr id="3079" name="Spinner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16</xdr:row>
          <xdr:rowOff>9525</xdr:rowOff>
        </xdr:from>
        <xdr:to>
          <xdr:col>4</xdr:col>
          <xdr:colOff>190500</xdr:colOff>
          <xdr:row>16</xdr:row>
          <xdr:rowOff>171450</xdr:rowOff>
        </xdr:to>
        <xdr:sp macro="" textlink="">
          <xdr:nvSpPr>
            <xdr:cNvPr id="3080" name="Spinner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15</xdr:row>
          <xdr:rowOff>9525</xdr:rowOff>
        </xdr:from>
        <xdr:to>
          <xdr:col>4</xdr:col>
          <xdr:colOff>190500</xdr:colOff>
          <xdr:row>15</xdr:row>
          <xdr:rowOff>171450</xdr:rowOff>
        </xdr:to>
        <xdr:sp macro="" textlink="">
          <xdr:nvSpPr>
            <xdr:cNvPr id="3081" name="Spinner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16</xdr:row>
          <xdr:rowOff>9525</xdr:rowOff>
        </xdr:from>
        <xdr:to>
          <xdr:col>4</xdr:col>
          <xdr:colOff>190500</xdr:colOff>
          <xdr:row>16</xdr:row>
          <xdr:rowOff>171450</xdr:rowOff>
        </xdr:to>
        <xdr:sp macro="" textlink="">
          <xdr:nvSpPr>
            <xdr:cNvPr id="3082" name="Spinner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0</xdr:colOff>
      <xdr:row>13</xdr:row>
      <xdr:rowOff>71717</xdr:rowOff>
    </xdr:from>
    <xdr:to>
      <xdr:col>22</xdr:col>
      <xdr:colOff>10309</xdr:colOff>
      <xdr:row>32</xdr:row>
      <xdr:rowOff>98161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31474</xdr:colOff>
      <xdr:row>10</xdr:row>
      <xdr:rowOff>172942</xdr:rowOff>
    </xdr:from>
    <xdr:to>
      <xdr:col>10</xdr:col>
      <xdr:colOff>410817</xdr:colOff>
      <xdr:row>28</xdr:row>
      <xdr:rowOff>39756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286871</xdr:colOff>
      <xdr:row>11</xdr:row>
      <xdr:rowOff>89647</xdr:rowOff>
    </xdr:from>
    <xdr:to>
      <xdr:col>20</xdr:col>
      <xdr:colOff>666215</xdr:colOff>
      <xdr:row>28</xdr:row>
      <xdr:rowOff>135755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</xdr:colOff>
      <xdr:row>5</xdr:row>
      <xdr:rowOff>83820</xdr:rowOff>
    </xdr:from>
    <xdr:to>
      <xdr:col>7</xdr:col>
      <xdr:colOff>327660</xdr:colOff>
      <xdr:row>23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350520</xdr:colOff>
      <xdr:row>5</xdr:row>
      <xdr:rowOff>91440</xdr:rowOff>
    </xdr:from>
    <xdr:to>
      <xdr:col>14</xdr:col>
      <xdr:colOff>411480</xdr:colOff>
      <xdr:row>23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17"/>
  <sheetViews>
    <sheetView tabSelected="1" topLeftCell="A11" zoomScale="175" zoomScaleNormal="175" workbookViewId="0">
      <selection activeCell="C30" sqref="C30"/>
    </sheetView>
  </sheetViews>
  <sheetFormatPr defaultRowHeight="15" x14ac:dyDescent="0.25"/>
  <cols>
    <col min="1" max="1" width="12.7109375" bestFit="1" customWidth="1"/>
    <col min="2" max="6" width="11.42578125" style="2" customWidth="1"/>
    <col min="7" max="8" width="10.28515625" style="37" customWidth="1"/>
    <col min="9" max="10" width="11.42578125" style="42" customWidth="1"/>
    <col min="11" max="11" width="18" style="37" customWidth="1"/>
    <col min="13" max="13" width="9.85546875" bestFit="1" customWidth="1"/>
  </cols>
  <sheetData>
    <row r="1" spans="1:29" x14ac:dyDescent="0.25">
      <c r="A1" s="4"/>
      <c r="B1" s="51" t="s">
        <v>19</v>
      </c>
      <c r="C1" s="52"/>
      <c r="D1" s="3" t="s">
        <v>17</v>
      </c>
      <c r="E1" s="51" t="s">
        <v>90</v>
      </c>
      <c r="F1" s="52"/>
      <c r="G1" s="51" t="s">
        <v>91</v>
      </c>
      <c r="H1" s="52"/>
      <c r="I1" s="51" t="s">
        <v>92</v>
      </c>
      <c r="J1" s="52"/>
      <c r="K1" s="43" t="s">
        <v>89</v>
      </c>
      <c r="N1" s="50" t="s">
        <v>52</v>
      </c>
      <c r="O1" s="50"/>
      <c r="P1" s="50" t="s">
        <v>53</v>
      </c>
      <c r="Q1" s="50"/>
      <c r="R1" s="50" t="s">
        <v>54</v>
      </c>
      <c r="S1" s="50"/>
      <c r="T1" s="50" t="s">
        <v>55</v>
      </c>
      <c r="U1" s="50"/>
      <c r="V1" s="50" t="s">
        <v>56</v>
      </c>
      <c r="W1" s="50"/>
      <c r="X1" s="50" t="s">
        <v>57</v>
      </c>
      <c r="Y1" s="50"/>
      <c r="Z1" s="50" t="s">
        <v>58</v>
      </c>
      <c r="AA1" s="50"/>
      <c r="AB1" s="50" t="s">
        <v>59</v>
      </c>
      <c r="AC1" s="50"/>
    </row>
    <row r="2" spans="1:29" x14ac:dyDescent="0.25">
      <c r="A2" s="5"/>
      <c r="B2" s="18" t="s">
        <v>1</v>
      </c>
      <c r="C2" s="19" t="s">
        <v>2</v>
      </c>
      <c r="D2" s="20" t="s">
        <v>18</v>
      </c>
      <c r="E2" s="18" t="s">
        <v>38</v>
      </c>
      <c r="F2" s="19" t="s">
        <v>39</v>
      </c>
      <c r="G2" s="18" t="s">
        <v>38</v>
      </c>
      <c r="H2" s="19" t="s">
        <v>39</v>
      </c>
      <c r="I2" s="18" t="s">
        <v>38</v>
      </c>
      <c r="J2" s="19" t="s">
        <v>39</v>
      </c>
      <c r="K2" s="44" t="s">
        <v>88</v>
      </c>
      <c r="N2" s="1" t="s">
        <v>1</v>
      </c>
      <c r="O2" s="1" t="s">
        <v>2</v>
      </c>
      <c r="P2" s="1" t="s">
        <v>1</v>
      </c>
      <c r="Q2" s="1" t="s">
        <v>2</v>
      </c>
      <c r="R2" s="1" t="s">
        <v>1</v>
      </c>
      <c r="S2" s="1" t="s">
        <v>2</v>
      </c>
      <c r="T2" s="1" t="s">
        <v>1</v>
      </c>
      <c r="U2" s="1" t="s">
        <v>2</v>
      </c>
      <c r="V2" s="1" t="s">
        <v>1</v>
      </c>
      <c r="W2" s="1" t="s">
        <v>2</v>
      </c>
      <c r="X2" s="1" t="s">
        <v>1</v>
      </c>
      <c r="Y2" s="1" t="s">
        <v>2</v>
      </c>
      <c r="Z2" s="1" t="s">
        <v>1</v>
      </c>
      <c r="AA2" s="1" t="s">
        <v>2</v>
      </c>
      <c r="AB2" s="1" t="s">
        <v>1</v>
      </c>
      <c r="AC2" s="1" t="s">
        <v>2</v>
      </c>
    </row>
    <row r="3" spans="1:29" x14ac:dyDescent="0.25">
      <c r="A3" s="6" t="s">
        <v>7</v>
      </c>
      <c r="B3" s="9">
        <f>B10*SQRT(3)/2</f>
        <v>2.598076211353316</v>
      </c>
      <c r="C3" s="10">
        <f>B10*1/2</f>
        <v>1.5</v>
      </c>
      <c r="D3" s="15">
        <f>2*ASIN('Foot Vectors'!$D$17/(2*SQRT(('Foot Vectors'!B3^2)+'Foot Vectors'!C3^2)))</f>
        <v>-0.33489615843937864</v>
      </c>
      <c r="E3" s="9">
        <f>'Foot Vectors'!$D$15+('Foot Vectors'!B3*COS('Foot Vectors'!D3)-'Foot Vectors'!C3*SIN('Foot Vectors'!$D$3))</f>
        <v>1.9467452926475444</v>
      </c>
      <c r="F3" s="10">
        <f>'Foot Vectors'!$D$16+('Foot Vectors'!B3*SIN('Foot Vectors'!D3)+'Foot Vectors'!C3*COS('Foot Vectors'!$D$3))</f>
        <v>-0.43724589716329998</v>
      </c>
      <c r="G3" s="9">
        <f>E3-B3</f>
        <v>-0.65133091870577164</v>
      </c>
      <c r="H3" s="10">
        <f>F3-C3</f>
        <v>-1.9372458971633</v>
      </c>
      <c r="I3" s="15">
        <f>G3/1.986</f>
        <v>-0.32796118766655169</v>
      </c>
      <c r="J3" s="15">
        <f>H3/1.986</f>
        <v>-0.97545110632593157</v>
      </c>
      <c r="K3" s="45">
        <f>SQRT(((I3)^2+(J3)^2))/1.21430347612488</f>
        <v>0.84748835966220248</v>
      </c>
      <c r="L3">
        <f>SQRT((G3^2)+(H3^2))/2.412</f>
        <v>0.84735016972254784</v>
      </c>
      <c r="M3" s="1" t="s">
        <v>37</v>
      </c>
      <c r="N3" s="35">
        <f>B3</f>
        <v>2.598076211353316</v>
      </c>
      <c r="O3" s="35">
        <f>C3</f>
        <v>1.5</v>
      </c>
      <c r="P3" s="35">
        <f>B4</f>
        <v>0</v>
      </c>
      <c r="Q3" s="35">
        <f>C4</f>
        <v>3</v>
      </c>
      <c r="R3" s="35">
        <f>B5</f>
        <v>-2.598076211353316</v>
      </c>
      <c r="S3" s="35">
        <f>C5</f>
        <v>1.5</v>
      </c>
      <c r="T3" s="35">
        <f>B6</f>
        <v>-2.598076211353316</v>
      </c>
      <c r="U3" s="35">
        <f>C6</f>
        <v>-1.5</v>
      </c>
      <c r="V3" s="35">
        <f>B7</f>
        <v>0</v>
      </c>
      <c r="W3" s="35">
        <f>C7</f>
        <v>-3</v>
      </c>
      <c r="X3" s="35">
        <f>B8</f>
        <v>2.598076211353316</v>
      </c>
      <c r="Y3" s="35">
        <f>C8</f>
        <v>-1.5</v>
      </c>
      <c r="Z3">
        <v>0</v>
      </c>
      <c r="AA3">
        <v>0</v>
      </c>
      <c r="AB3">
        <v>0</v>
      </c>
      <c r="AC3">
        <v>0</v>
      </c>
    </row>
    <row r="4" spans="1:29" x14ac:dyDescent="0.25">
      <c r="A4" s="7" t="s">
        <v>8</v>
      </c>
      <c r="B4" s="11">
        <v>0</v>
      </c>
      <c r="C4" s="12">
        <f>B10</f>
        <v>3</v>
      </c>
      <c r="D4" s="16">
        <f>2*ASIN('Foot Vectors'!$D$17/(2*SQRT(('Foot Vectors'!B4^2)+'Foot Vectors'!C4^2)))</f>
        <v>-0.33489615843937864</v>
      </c>
      <c r="E4" s="11">
        <f>'Foot Vectors'!$D$15+('Foot Vectors'!B4*COS('Foot Vectors'!D4)-'Foot Vectors'!C4*SIN('Foot Vectors'!$D$3))</f>
        <v>-1.3986702816730645E-2</v>
      </c>
      <c r="F4" s="12">
        <f>'Foot Vectors'!$D$16+('Foot Vectors'!B4*SIN('Foot Vectors'!D4)+'Foot Vectors'!C4*COS('Foot Vectors'!$D$3))</f>
        <v>1.833333333333333</v>
      </c>
      <c r="G4" s="11">
        <f>E4-B4</f>
        <v>-1.3986702816730645E-2</v>
      </c>
      <c r="H4" s="12">
        <f t="shared" ref="H4:H8" si="0">F4-C4</f>
        <v>-1.166666666666667</v>
      </c>
      <c r="I4" s="16">
        <f t="shared" ref="I4:I8" si="1">G4/1.986</f>
        <v>-7.0426499580718257E-3</v>
      </c>
      <c r="J4" s="16">
        <f t="shared" ref="J4:J8" si="2">H4/1.986</f>
        <v>-0.58744545149379002</v>
      </c>
      <c r="K4" s="46">
        <f t="shared" ref="K4:K8" si="3">SQRT(((I4)^2+(J4)^2))/1.21430347612488</f>
        <v>0.48380629496093497</v>
      </c>
      <c r="M4" s="1" t="s">
        <v>97</v>
      </c>
      <c r="N4" s="35">
        <f>E3</f>
        <v>1.9467452926475444</v>
      </c>
      <c r="O4" s="35">
        <f>F3</f>
        <v>-0.43724589716329998</v>
      </c>
      <c r="P4" s="35">
        <f>E4</f>
        <v>-1.3986702816730645E-2</v>
      </c>
      <c r="Q4" s="35">
        <f>F4</f>
        <v>1.833333333333333</v>
      </c>
      <c r="R4" s="35">
        <f>E5</f>
        <v>-2.9607319954642746</v>
      </c>
      <c r="S4" s="35">
        <f>F5</f>
        <v>1.270579230496633</v>
      </c>
      <c r="T4" s="35">
        <f>E6</f>
        <v>-3.9467452926475444</v>
      </c>
      <c r="U4" s="35">
        <f>F6</f>
        <v>-1.5627541028367</v>
      </c>
      <c r="V4" s="35">
        <f>E7</f>
        <v>-1.9860132971832694</v>
      </c>
      <c r="W4" s="35">
        <f>F7</f>
        <v>-3.833333333333333</v>
      </c>
      <c r="X4" s="35">
        <f>E8</f>
        <v>0.96073199546427479</v>
      </c>
      <c r="Y4" s="35">
        <f>F8</f>
        <v>-3.270579230496633</v>
      </c>
      <c r="Z4">
        <f>D15</f>
        <v>-1</v>
      </c>
      <c r="AA4">
        <f>D16</f>
        <v>-1</v>
      </c>
      <c r="AB4">
        <f>-D17</f>
        <v>1</v>
      </c>
      <c r="AC4">
        <v>0</v>
      </c>
    </row>
    <row r="5" spans="1:29" x14ac:dyDescent="0.25">
      <c r="A5" s="6" t="s">
        <v>9</v>
      </c>
      <c r="B5" s="9">
        <f>-B10*SQRT(3)/2</f>
        <v>-2.598076211353316</v>
      </c>
      <c r="C5" s="10">
        <f>B10*1/2</f>
        <v>1.5</v>
      </c>
      <c r="D5" s="15">
        <f>2*ASIN('Foot Vectors'!$D$17/(2*SQRT(('Foot Vectors'!B5^2)+'Foot Vectors'!C5^2)))</f>
        <v>-0.33489615843937864</v>
      </c>
      <c r="E5" s="9">
        <f>'Foot Vectors'!$D$15+('Foot Vectors'!B5*COS('Foot Vectors'!D5)-'Foot Vectors'!C5*SIN('Foot Vectors'!$D$3))</f>
        <v>-2.9607319954642746</v>
      </c>
      <c r="F5" s="10">
        <f>'Foot Vectors'!$D$16+('Foot Vectors'!B5*SIN('Foot Vectors'!D5)+'Foot Vectors'!C5*COS('Foot Vectors'!$D$3))</f>
        <v>1.270579230496633</v>
      </c>
      <c r="G5" s="9">
        <f t="shared" ref="G5:G8" si="4">E5-B5</f>
        <v>-0.36265578411095856</v>
      </c>
      <c r="H5" s="10">
        <f t="shared" si="0"/>
        <v>-0.22942076950336698</v>
      </c>
      <c r="I5" s="15">
        <f t="shared" si="1"/>
        <v>-0.18260613500048264</v>
      </c>
      <c r="J5" s="15">
        <f t="shared" si="2"/>
        <v>-0.11551901787682124</v>
      </c>
      <c r="K5" s="47">
        <f t="shared" si="3"/>
        <v>0.17794387475210821</v>
      </c>
      <c r="M5" s="1" t="s">
        <v>95</v>
      </c>
      <c r="N5">
        <f>0</f>
        <v>0</v>
      </c>
      <c r="O5">
        <f>0</f>
        <v>0</v>
      </c>
      <c r="P5">
        <f>0</f>
        <v>0</v>
      </c>
      <c r="Q5">
        <f>0</f>
        <v>0</v>
      </c>
      <c r="R5">
        <f>0</f>
        <v>0</v>
      </c>
      <c r="S5">
        <f>0</f>
        <v>0</v>
      </c>
      <c r="T5">
        <f>0</f>
        <v>0</v>
      </c>
      <c r="U5">
        <f>0</f>
        <v>0</v>
      </c>
      <c r="V5">
        <f>0</f>
        <v>0</v>
      </c>
      <c r="W5">
        <f>0</f>
        <v>0</v>
      </c>
      <c r="X5">
        <f>0</f>
        <v>0</v>
      </c>
      <c r="Y5">
        <f>0</f>
        <v>0</v>
      </c>
      <c r="Z5">
        <f>0</f>
        <v>0</v>
      </c>
      <c r="AA5">
        <f>0</f>
        <v>0</v>
      </c>
      <c r="AB5">
        <f>0</f>
        <v>0</v>
      </c>
      <c r="AC5">
        <f>0</f>
        <v>0</v>
      </c>
    </row>
    <row r="6" spans="1:29" x14ac:dyDescent="0.25">
      <c r="A6" s="7" t="s">
        <v>10</v>
      </c>
      <c r="B6" s="11">
        <f>-B10*SQRT(3)/2</f>
        <v>-2.598076211353316</v>
      </c>
      <c r="C6" s="12">
        <f>-B10*1/2</f>
        <v>-1.5</v>
      </c>
      <c r="D6" s="16">
        <f>2*ASIN('Foot Vectors'!$D$17/(2*SQRT(('Foot Vectors'!B6^2)+'Foot Vectors'!C6^2)))</f>
        <v>-0.33489615843937864</v>
      </c>
      <c r="E6" s="11">
        <f>'Foot Vectors'!$D$15+('Foot Vectors'!B6*COS('Foot Vectors'!D6)-'Foot Vectors'!C6*SIN('Foot Vectors'!$D$3))</f>
        <v>-3.9467452926475444</v>
      </c>
      <c r="F6" s="12">
        <f>'Foot Vectors'!$D$16+('Foot Vectors'!B6*SIN('Foot Vectors'!D6)+'Foot Vectors'!C6*COS('Foot Vectors'!$D$3))</f>
        <v>-1.5627541028367</v>
      </c>
      <c r="G6" s="11">
        <f t="shared" si="4"/>
        <v>-1.3486690812942284</v>
      </c>
      <c r="H6" s="12">
        <f t="shared" si="0"/>
        <v>-6.2754102836700021E-2</v>
      </c>
      <c r="I6" s="16">
        <f t="shared" si="1"/>
        <v>-0.67908815775137377</v>
      </c>
      <c r="J6" s="16">
        <f t="shared" si="2"/>
        <v>-3.1598239091993968E-2</v>
      </c>
      <c r="K6" s="46">
        <f t="shared" si="3"/>
        <v>0.55984596345679261</v>
      </c>
      <c r="M6" s="1" t="s">
        <v>96</v>
      </c>
      <c r="N6" s="35">
        <f>G3</f>
        <v>-0.65133091870577164</v>
      </c>
      <c r="O6" s="35">
        <f>H3</f>
        <v>-1.9372458971633</v>
      </c>
      <c r="P6" s="35">
        <f>G4</f>
        <v>-1.3986702816730645E-2</v>
      </c>
      <c r="Q6" s="35">
        <f>H4</f>
        <v>-1.166666666666667</v>
      </c>
      <c r="R6">
        <f>G5</f>
        <v>-0.36265578411095856</v>
      </c>
      <c r="S6" s="35">
        <f>H5</f>
        <v>-0.22942076950336698</v>
      </c>
      <c r="T6" s="35">
        <f>G6</f>
        <v>-1.3486690812942284</v>
      </c>
      <c r="U6" s="35">
        <f>H6</f>
        <v>-6.2754102836700021E-2</v>
      </c>
      <c r="V6" s="35">
        <f>G7</f>
        <v>-1.9860132971832694</v>
      </c>
      <c r="W6" s="35">
        <f>H7</f>
        <v>-0.83333333333333304</v>
      </c>
      <c r="X6" s="35">
        <f>G8</f>
        <v>-1.6373442158890412</v>
      </c>
      <c r="Y6" s="35">
        <f>H8</f>
        <v>-1.770579230496633</v>
      </c>
    </row>
    <row r="7" spans="1:29" x14ac:dyDescent="0.25">
      <c r="A7" s="6" t="s">
        <v>11</v>
      </c>
      <c r="B7" s="9">
        <v>0</v>
      </c>
      <c r="C7" s="10">
        <f>-B10</f>
        <v>-3</v>
      </c>
      <c r="D7" s="15">
        <f>2*ASIN('Foot Vectors'!$D$17/(2*SQRT(('Foot Vectors'!B7^2)+'Foot Vectors'!C7^2)))</f>
        <v>-0.33489615843937864</v>
      </c>
      <c r="E7" s="9">
        <f>'Foot Vectors'!$D$15+('Foot Vectors'!B7*COS('Foot Vectors'!D7)-'Foot Vectors'!C7*SIN('Foot Vectors'!$D$3))</f>
        <v>-1.9860132971832694</v>
      </c>
      <c r="F7" s="10">
        <f>'Foot Vectors'!$D$16+('Foot Vectors'!B7*SIN('Foot Vectors'!D7)+'Foot Vectors'!C7*COS('Foot Vectors'!$D$3))</f>
        <v>-3.833333333333333</v>
      </c>
      <c r="G7" s="9">
        <f>E7-B7</f>
        <v>-1.9860132971832694</v>
      </c>
      <c r="H7" s="10">
        <f t="shared" si="0"/>
        <v>-0.83333333333333304</v>
      </c>
      <c r="I7" s="15">
        <f t="shared" si="1"/>
        <v>-1.0000066954598537</v>
      </c>
      <c r="J7" s="15">
        <f t="shared" si="2"/>
        <v>-0.4196038939241355</v>
      </c>
      <c r="K7" s="47">
        <f t="shared" si="3"/>
        <v>0.89308201835999801</v>
      </c>
    </row>
    <row r="8" spans="1:29" x14ac:dyDescent="0.25">
      <c r="A8" s="8" t="s">
        <v>12</v>
      </c>
      <c r="B8" s="22">
        <f>B10*SQRT(3)/2</f>
        <v>2.598076211353316</v>
      </c>
      <c r="C8" s="14">
        <f>-B10*1/2</f>
        <v>-1.5</v>
      </c>
      <c r="D8" s="17">
        <f>2*ASIN('Foot Vectors'!$D$17/(2*SQRT(('Foot Vectors'!B8^2)+'Foot Vectors'!C8^2)))</f>
        <v>-0.33489615843937864</v>
      </c>
      <c r="E8" s="13">
        <f>'Foot Vectors'!$D$15+('Foot Vectors'!B8*COS('Foot Vectors'!D8)-'Foot Vectors'!C8*SIN('Foot Vectors'!$D$3))</f>
        <v>0.96073199546427479</v>
      </c>
      <c r="F8" s="14">
        <f>'Foot Vectors'!$D$16+('Foot Vectors'!B8*SIN('Foot Vectors'!D8)+'Foot Vectors'!C8*COS('Foot Vectors'!$D$3))</f>
        <v>-3.270579230496633</v>
      </c>
      <c r="G8" s="13">
        <f t="shared" si="4"/>
        <v>-1.6373442158890412</v>
      </c>
      <c r="H8" s="14">
        <f t="shared" si="0"/>
        <v>-1.770579230496633</v>
      </c>
      <c r="I8" s="17">
        <f t="shared" si="1"/>
        <v>-0.82444321041744273</v>
      </c>
      <c r="J8" s="17">
        <f t="shared" si="2"/>
        <v>-0.89153032754110428</v>
      </c>
      <c r="K8" s="48">
        <f t="shared" si="3"/>
        <v>1.0000000000000004</v>
      </c>
    </row>
    <row r="10" spans="1:29" x14ac:dyDescent="0.25">
      <c r="A10" s="21" t="s">
        <v>20</v>
      </c>
      <c r="B10" s="2">
        <v>3</v>
      </c>
      <c r="D10"/>
      <c r="E10"/>
      <c r="F10"/>
      <c r="G10"/>
      <c r="H10"/>
      <c r="I10"/>
      <c r="J10"/>
      <c r="K10"/>
    </row>
    <row r="11" spans="1:29" x14ac:dyDescent="0.25">
      <c r="A11" t="s">
        <v>21</v>
      </c>
      <c r="B11" s="2">
        <v>2</v>
      </c>
      <c r="K11" s="37">
        <v>1.2143034761248801</v>
      </c>
    </row>
    <row r="13" spans="1:29" x14ac:dyDescent="0.25">
      <c r="A13" s="54" t="s">
        <v>26</v>
      </c>
      <c r="B13" s="54"/>
      <c r="C13" s="54"/>
      <c r="D13" s="54"/>
    </row>
    <row r="14" spans="1:29" x14ac:dyDescent="0.25">
      <c r="A14" s="23"/>
      <c r="B14" s="24" t="s">
        <v>25</v>
      </c>
      <c r="C14" s="23" t="s">
        <v>24</v>
      </c>
      <c r="D14" s="24" t="s">
        <v>23</v>
      </c>
      <c r="E14" s="28"/>
    </row>
    <row r="15" spans="1:29" x14ac:dyDescent="0.25">
      <c r="A15" s="53" t="s">
        <v>13</v>
      </c>
      <c r="B15" s="25" t="s">
        <v>15</v>
      </c>
      <c r="C15" s="26" t="s">
        <v>22</v>
      </c>
      <c r="D15" s="25">
        <f>E15/100-1</f>
        <v>-1</v>
      </c>
      <c r="E15" s="27">
        <v>0</v>
      </c>
    </row>
    <row r="16" spans="1:29" x14ac:dyDescent="0.25">
      <c r="A16" s="53"/>
      <c r="B16" s="25" t="s">
        <v>16</v>
      </c>
      <c r="C16" s="26" t="s">
        <v>22</v>
      </c>
      <c r="D16" s="25">
        <f>E16/100-1</f>
        <v>-1</v>
      </c>
      <c r="E16" s="27">
        <v>0</v>
      </c>
    </row>
    <row r="17" spans="1:5" x14ac:dyDescent="0.25">
      <c r="A17" s="23" t="s">
        <v>14</v>
      </c>
      <c r="B17" s="25" t="s">
        <v>93</v>
      </c>
      <c r="C17" s="26" t="s">
        <v>22</v>
      </c>
      <c r="D17" s="25">
        <f>E17/100-1</f>
        <v>-1</v>
      </c>
      <c r="E17" s="27">
        <v>0</v>
      </c>
    </row>
  </sheetData>
  <mergeCells count="14">
    <mergeCell ref="Z1:AA1"/>
    <mergeCell ref="AB1:AC1"/>
    <mergeCell ref="E1:F1"/>
    <mergeCell ref="B1:C1"/>
    <mergeCell ref="A15:A16"/>
    <mergeCell ref="A13:D13"/>
    <mergeCell ref="X1:Y1"/>
    <mergeCell ref="V1:W1"/>
    <mergeCell ref="T1:U1"/>
    <mergeCell ref="R1:S1"/>
    <mergeCell ref="P1:Q1"/>
    <mergeCell ref="N1:O1"/>
    <mergeCell ref="G1:H1"/>
    <mergeCell ref="I1:J1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Spinner 6">
              <controlPr defaultSize="0" autoPict="0">
                <anchor moveWithCells="1" sizeWithCells="1">
                  <from>
                    <xdr:col>4</xdr:col>
                    <xdr:colOff>9525</xdr:colOff>
                    <xdr:row>14</xdr:row>
                    <xdr:rowOff>9525</xdr:rowOff>
                  </from>
                  <to>
                    <xdr:col>4</xdr:col>
                    <xdr:colOff>190500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Spinner 7">
              <controlPr defaultSize="0" autoPict="0">
                <anchor moveWithCells="1" sizeWithCells="1">
                  <from>
                    <xdr:col>4</xdr:col>
                    <xdr:colOff>9525</xdr:colOff>
                    <xdr:row>15</xdr:row>
                    <xdr:rowOff>9525</xdr:rowOff>
                  </from>
                  <to>
                    <xdr:col>4</xdr:col>
                    <xdr:colOff>190500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Spinner 8">
              <controlPr defaultSize="0" autoPict="0">
                <anchor moveWithCells="1" sizeWithCells="1">
                  <from>
                    <xdr:col>4</xdr:col>
                    <xdr:colOff>9525</xdr:colOff>
                    <xdr:row>16</xdr:row>
                    <xdr:rowOff>9525</xdr:rowOff>
                  </from>
                  <to>
                    <xdr:col>4</xdr:col>
                    <xdr:colOff>190500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Spinner 9">
              <controlPr defaultSize="0" autoPict="0">
                <anchor moveWithCells="1" sizeWithCells="1">
                  <from>
                    <xdr:col>4</xdr:col>
                    <xdr:colOff>9525</xdr:colOff>
                    <xdr:row>15</xdr:row>
                    <xdr:rowOff>9525</xdr:rowOff>
                  </from>
                  <to>
                    <xdr:col>4</xdr:col>
                    <xdr:colOff>190500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Spinner 10">
              <controlPr defaultSize="0" autoPict="0">
                <anchor moveWithCells="1" sizeWithCells="1">
                  <from>
                    <xdr:col>4</xdr:col>
                    <xdr:colOff>9525</xdr:colOff>
                    <xdr:row>16</xdr:row>
                    <xdr:rowOff>9525</xdr:rowOff>
                  </from>
                  <to>
                    <xdr:col>4</xdr:col>
                    <xdr:colOff>190500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9"/>
  <sheetViews>
    <sheetView workbookViewId="0">
      <selection activeCell="H21" sqref="H21"/>
    </sheetView>
  </sheetViews>
  <sheetFormatPr defaultRowHeight="15" x14ac:dyDescent="0.25"/>
  <cols>
    <col min="5" max="10" width="10.5703125" customWidth="1"/>
    <col min="11" max="18" width="5.7109375" customWidth="1"/>
  </cols>
  <sheetData>
    <row r="1" spans="1:18" x14ac:dyDescent="0.25">
      <c r="A1" t="s">
        <v>64</v>
      </c>
      <c r="B1">
        <v>6</v>
      </c>
      <c r="E1" t="s">
        <v>69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  <c r="M1" t="s">
        <v>77</v>
      </c>
      <c r="N1" t="s">
        <v>78</v>
      </c>
      <c r="O1" t="s">
        <v>79</v>
      </c>
      <c r="P1" t="s">
        <v>80</v>
      </c>
      <c r="Q1" t="s">
        <v>81</v>
      </c>
      <c r="R1" t="s">
        <v>82</v>
      </c>
    </row>
    <row r="2" spans="1:18" x14ac:dyDescent="0.25">
      <c r="A2" t="s">
        <v>60</v>
      </c>
      <c r="B2">
        <v>2</v>
      </c>
      <c r="D2" t="s">
        <v>83</v>
      </c>
      <c r="E2">
        <v>1</v>
      </c>
      <c r="F2">
        <v>1</v>
      </c>
      <c r="G2">
        <v>-5</v>
      </c>
      <c r="H2">
        <v>-5</v>
      </c>
      <c r="I2">
        <v>-4</v>
      </c>
      <c r="J2">
        <v>6</v>
      </c>
      <c r="K2">
        <v>2</v>
      </c>
      <c r="L2">
        <v>2</v>
      </c>
      <c r="M2">
        <v>4</v>
      </c>
      <c r="N2">
        <v>4</v>
      </c>
      <c r="O2">
        <v>5</v>
      </c>
      <c r="P2">
        <v>5</v>
      </c>
      <c r="Q2">
        <v>6</v>
      </c>
      <c r="R2">
        <v>0</v>
      </c>
    </row>
    <row r="3" spans="1:18" x14ac:dyDescent="0.25">
      <c r="A3" t="s">
        <v>61</v>
      </c>
      <c r="B3">
        <v>2</v>
      </c>
      <c r="D3" t="s">
        <v>27</v>
      </c>
      <c r="E3">
        <v>2.5</v>
      </c>
      <c r="F3">
        <v>-0.5</v>
      </c>
      <c r="G3">
        <v>-2</v>
      </c>
      <c r="H3">
        <v>-2</v>
      </c>
      <c r="I3">
        <v>-1</v>
      </c>
      <c r="J3">
        <v>3</v>
      </c>
      <c r="K3">
        <v>5</v>
      </c>
      <c r="L3">
        <v>5</v>
      </c>
      <c r="M3">
        <v>1</v>
      </c>
      <c r="N3">
        <v>1</v>
      </c>
      <c r="O3">
        <v>2</v>
      </c>
      <c r="P3">
        <v>2</v>
      </c>
      <c r="Q3">
        <v>3</v>
      </c>
      <c r="R3">
        <v>3</v>
      </c>
    </row>
    <row r="4" spans="1:18" x14ac:dyDescent="0.25">
      <c r="A4" t="s">
        <v>62</v>
      </c>
      <c r="B4">
        <v>1</v>
      </c>
      <c r="D4" t="s">
        <v>28</v>
      </c>
      <c r="E4">
        <v>1</v>
      </c>
      <c r="F4">
        <v>1</v>
      </c>
      <c r="G4">
        <v>-5</v>
      </c>
      <c r="H4">
        <v>-5</v>
      </c>
      <c r="I4">
        <v>-4</v>
      </c>
      <c r="J4">
        <v>6</v>
      </c>
      <c r="K4">
        <v>2</v>
      </c>
      <c r="L4">
        <v>2</v>
      </c>
      <c r="M4">
        <v>4</v>
      </c>
      <c r="N4">
        <v>4</v>
      </c>
      <c r="O4">
        <v>5</v>
      </c>
      <c r="P4">
        <v>5</v>
      </c>
      <c r="Q4">
        <v>6</v>
      </c>
      <c r="R4">
        <v>0</v>
      </c>
    </row>
    <row r="5" spans="1:18" x14ac:dyDescent="0.25">
      <c r="A5" t="s">
        <v>63</v>
      </c>
      <c r="B5">
        <v>1</v>
      </c>
      <c r="D5" t="s">
        <v>29</v>
      </c>
      <c r="E5">
        <v>2.5</v>
      </c>
      <c r="F5">
        <v>-0.5</v>
      </c>
      <c r="G5">
        <v>-2</v>
      </c>
      <c r="H5">
        <v>-2</v>
      </c>
      <c r="I5">
        <v>-1</v>
      </c>
      <c r="J5">
        <v>3</v>
      </c>
      <c r="K5">
        <v>5</v>
      </c>
      <c r="L5">
        <v>5</v>
      </c>
      <c r="M5">
        <v>1</v>
      </c>
      <c r="N5">
        <v>1</v>
      </c>
      <c r="O5">
        <v>2</v>
      </c>
      <c r="P5">
        <v>2</v>
      </c>
      <c r="Q5">
        <v>3</v>
      </c>
      <c r="R5">
        <v>3</v>
      </c>
    </row>
    <row r="6" spans="1:18" x14ac:dyDescent="0.25">
      <c r="A6" t="s">
        <v>65</v>
      </c>
      <c r="B6">
        <v>0.5</v>
      </c>
      <c r="D6" t="s">
        <v>30</v>
      </c>
      <c r="E6">
        <v>1</v>
      </c>
      <c r="F6">
        <v>1</v>
      </c>
      <c r="G6">
        <v>-5</v>
      </c>
      <c r="H6">
        <v>-5</v>
      </c>
      <c r="I6">
        <v>-4</v>
      </c>
      <c r="J6">
        <v>6</v>
      </c>
      <c r="K6">
        <v>2</v>
      </c>
      <c r="L6">
        <v>2</v>
      </c>
      <c r="M6">
        <v>4</v>
      </c>
      <c r="N6">
        <v>4</v>
      </c>
      <c r="O6">
        <v>5</v>
      </c>
      <c r="P6">
        <v>5</v>
      </c>
      <c r="Q6">
        <v>6</v>
      </c>
      <c r="R6">
        <v>0</v>
      </c>
    </row>
    <row r="7" spans="1:18" x14ac:dyDescent="0.25">
      <c r="A7" t="s">
        <v>66</v>
      </c>
      <c r="B7">
        <v>0.5</v>
      </c>
      <c r="D7" t="s">
        <v>31</v>
      </c>
      <c r="E7">
        <v>2.5</v>
      </c>
      <c r="F7">
        <v>-0.5</v>
      </c>
      <c r="G7">
        <v>-2</v>
      </c>
      <c r="H7">
        <v>-2</v>
      </c>
      <c r="I7">
        <v>-1</v>
      </c>
      <c r="J7">
        <v>3</v>
      </c>
      <c r="K7">
        <v>5</v>
      </c>
      <c r="L7">
        <v>5</v>
      </c>
      <c r="M7">
        <v>1</v>
      </c>
      <c r="N7">
        <v>1</v>
      </c>
      <c r="O7">
        <v>2</v>
      </c>
      <c r="P7">
        <v>2</v>
      </c>
      <c r="Q7">
        <v>3</v>
      </c>
      <c r="R7">
        <v>3</v>
      </c>
    </row>
    <row r="8" spans="1:18" x14ac:dyDescent="0.25">
      <c r="A8" t="s">
        <v>67</v>
      </c>
      <c r="B8">
        <v>1</v>
      </c>
    </row>
    <row r="9" spans="1:18" x14ac:dyDescent="0.25">
      <c r="A9" t="s">
        <v>68</v>
      </c>
      <c r="B9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7"/>
  <sheetViews>
    <sheetView topLeftCell="D1" zoomScale="145" zoomScaleNormal="145" workbookViewId="0">
      <selection activeCell="W18" sqref="W18"/>
    </sheetView>
  </sheetViews>
  <sheetFormatPr defaultRowHeight="15" x14ac:dyDescent="0.25"/>
  <cols>
    <col min="1" max="1" width="15.140625" customWidth="1"/>
    <col min="2" max="20" width="7.7109375" customWidth="1"/>
    <col min="21" max="21" width="10.28515625" customWidth="1"/>
    <col min="22" max="24" width="8.85546875" customWidth="1"/>
  </cols>
  <sheetData>
    <row r="1" spans="1:27" x14ac:dyDescent="0.25">
      <c r="B1" s="50" t="s">
        <v>43</v>
      </c>
      <c r="C1" s="50"/>
      <c r="D1" s="50"/>
      <c r="E1" s="50" t="s">
        <v>47</v>
      </c>
      <c r="F1" s="50"/>
      <c r="G1" s="50"/>
      <c r="H1" s="50" t="s">
        <v>48</v>
      </c>
      <c r="I1" s="50"/>
      <c r="J1" s="50"/>
      <c r="K1" s="50" t="s">
        <v>51</v>
      </c>
      <c r="L1" s="50"/>
      <c r="M1" s="50"/>
      <c r="N1" s="50" t="s">
        <v>46</v>
      </c>
      <c r="O1" s="50"/>
      <c r="P1" s="50"/>
      <c r="Q1" s="50" t="s">
        <v>44</v>
      </c>
      <c r="R1" s="50"/>
      <c r="S1" s="50"/>
      <c r="T1" s="50"/>
      <c r="U1" s="36"/>
      <c r="V1" s="50" t="s">
        <v>5</v>
      </c>
      <c r="W1" s="50"/>
      <c r="X1" s="50"/>
      <c r="Y1" s="50" t="s">
        <v>4</v>
      </c>
      <c r="Z1" s="50"/>
      <c r="AA1" s="50"/>
    </row>
    <row r="2" spans="1:27" x14ac:dyDescent="0.25">
      <c r="B2" s="1" t="s">
        <v>40</v>
      </c>
      <c r="C2" s="1" t="s">
        <v>41</v>
      </c>
      <c r="D2" s="1" t="s">
        <v>42</v>
      </c>
      <c r="E2" s="1" t="s">
        <v>40</v>
      </c>
      <c r="F2" s="1" t="s">
        <v>41</v>
      </c>
      <c r="G2" s="1" t="s">
        <v>42</v>
      </c>
      <c r="H2" s="1" t="s">
        <v>40</v>
      </c>
      <c r="I2" s="1" t="s">
        <v>41</v>
      </c>
      <c r="J2" s="1" t="s">
        <v>42</v>
      </c>
      <c r="K2" s="1" t="s">
        <v>40</v>
      </c>
      <c r="L2" s="1" t="s">
        <v>41</v>
      </c>
      <c r="M2" s="1" t="s">
        <v>42</v>
      </c>
      <c r="N2" s="1" t="s">
        <v>40</v>
      </c>
      <c r="O2" s="1" t="s">
        <v>41</v>
      </c>
      <c r="P2" s="1" t="s">
        <v>42</v>
      </c>
      <c r="Q2" s="1" t="s">
        <v>45</v>
      </c>
      <c r="R2" s="1" t="s">
        <v>40</v>
      </c>
      <c r="S2" s="1" t="s">
        <v>41</v>
      </c>
      <c r="T2" s="1" t="s">
        <v>42</v>
      </c>
      <c r="U2" s="1" t="s">
        <v>87</v>
      </c>
      <c r="V2" s="1" t="s">
        <v>86</v>
      </c>
      <c r="W2" s="1" t="s">
        <v>18</v>
      </c>
      <c r="X2" s="1" t="s">
        <v>85</v>
      </c>
      <c r="Y2" s="1" t="s">
        <v>86</v>
      </c>
      <c r="Z2" s="1" t="s">
        <v>18</v>
      </c>
      <c r="AA2" s="1" t="s">
        <v>85</v>
      </c>
    </row>
    <row r="3" spans="1:27" x14ac:dyDescent="0.25">
      <c r="A3" s="1" t="s">
        <v>6</v>
      </c>
      <c r="B3" s="31">
        <v>1</v>
      </c>
      <c r="C3" s="31">
        <v>0</v>
      </c>
      <c r="D3" s="31">
        <v>-8.25</v>
      </c>
      <c r="E3" s="31">
        <f>R_min*SQRT(3)/2</f>
        <v>7.5777222831138378</v>
      </c>
      <c r="F3" s="31">
        <f>R_min*1/2</f>
        <v>4.375</v>
      </c>
      <c r="G3" s="31">
        <v>-2</v>
      </c>
      <c r="H3" s="31">
        <f>R_max*SQRT(3)/2</f>
        <v>13.639900109604907</v>
      </c>
      <c r="I3" s="31">
        <f>R_max*1/2</f>
        <v>7.875</v>
      </c>
      <c r="J3" s="31">
        <v>-0.2</v>
      </c>
      <c r="K3" s="31">
        <f>R_r*SQRT(3)/2</f>
        <v>10.608811196359373</v>
      </c>
      <c r="L3" s="31">
        <f>R_r*1/2</f>
        <v>6.125</v>
      </c>
      <c r="M3" s="31">
        <v>-1</v>
      </c>
      <c r="N3" s="31">
        <f>R_b*SQRT(3)/2</f>
        <v>5.8456714755449601</v>
      </c>
      <c r="O3" s="31">
        <f>R_b*1/2</f>
        <v>3.375</v>
      </c>
      <c r="P3" s="32">
        <v>0</v>
      </c>
      <c r="Q3" s="32">
        <f>30*PI()/180</f>
        <v>0.52359877559829882</v>
      </c>
      <c r="R3" s="31">
        <f t="shared" ref="R3:R8" si="0">X*COS(A_global)-Y*SIN(A_global)+X_base</f>
        <v>6.7116968793293985</v>
      </c>
      <c r="S3" s="31">
        <f t="shared" ref="S3:S8" si="1">X*SIN(A_global)+Y*COS(A_global)+Y_base</f>
        <v>3.875</v>
      </c>
      <c r="T3" s="31">
        <f t="shared" ref="T3:T8" si="2">Z</f>
        <v>-8.25</v>
      </c>
      <c r="U3" s="32">
        <f t="shared" ref="U3:U8" si="3">SQRT(X^2+Y^2+Z^2)</f>
        <v>8.3103850692973307</v>
      </c>
      <c r="V3">
        <f>ACOS(((L_1 ^ 2) + (L_2 ^ 2) - (P_mag ^ 2)) / (2 * L_1 * L_2))</f>
        <v>0.17234581404276472</v>
      </c>
      <c r="W3">
        <f t="shared" ref="W3:W8" si="4">(3.1415923565 / 2) - ACOS(((L_1 ^ 2) - (L_2 ^ 2) + (P_mag ^ 2)) / (2 * L_1 * P_mag)) - ATAN(Z / SQRT(X^2+Y^2))</f>
        <v>0.11366988990350668</v>
      </c>
      <c r="X3" s="49">
        <f t="shared" ref="X3:X8" si="5">IF(X=0,PI()/2,PI()/2-ATAN(Y/X))</f>
        <v>1.5707963267948966</v>
      </c>
      <c r="Y3" s="32">
        <f>V3*(180/PI())</f>
        <v>9.8746877613969346</v>
      </c>
      <c r="Z3" s="32">
        <f>W3*(180/PI())</f>
        <v>6.512804949187661</v>
      </c>
      <c r="AA3" s="32">
        <f>X3*(180/PI())</f>
        <v>90</v>
      </c>
    </row>
    <row r="4" spans="1:27" x14ac:dyDescent="0.25">
      <c r="A4" s="1" t="s">
        <v>32</v>
      </c>
      <c r="B4" s="31">
        <v>1</v>
      </c>
      <c r="C4" s="31">
        <v>-1</v>
      </c>
      <c r="D4" s="31">
        <v>-8.25</v>
      </c>
      <c r="E4" s="31">
        <v>0</v>
      </c>
      <c r="F4" s="31">
        <f>R_min</f>
        <v>8.75</v>
      </c>
      <c r="G4" s="31">
        <v>-2</v>
      </c>
      <c r="H4" s="31">
        <v>0</v>
      </c>
      <c r="I4" s="31">
        <f>R_max</f>
        <v>15.75</v>
      </c>
      <c r="J4" s="31">
        <v>-0.2</v>
      </c>
      <c r="K4" s="31">
        <v>0</v>
      </c>
      <c r="L4" s="31">
        <f>R_r</f>
        <v>12.25</v>
      </c>
      <c r="M4" s="31">
        <v>-1</v>
      </c>
      <c r="N4" s="31">
        <v>0</v>
      </c>
      <c r="O4" s="31">
        <f>R_b</f>
        <v>6.75</v>
      </c>
      <c r="P4" s="32">
        <v>0</v>
      </c>
      <c r="Q4" s="31">
        <f>90*PI()/180</f>
        <v>1.5707963267948966</v>
      </c>
      <c r="R4" s="31">
        <f t="shared" si="0"/>
        <v>1</v>
      </c>
      <c r="S4" s="31">
        <f t="shared" si="1"/>
        <v>7.75</v>
      </c>
      <c r="T4" s="31">
        <f t="shared" si="2"/>
        <v>-8.25</v>
      </c>
      <c r="U4" s="32">
        <f t="shared" si="3"/>
        <v>8.3703345213916034</v>
      </c>
      <c r="V4">
        <f t="shared" ref="V4:V8" si="6">ACOS(((L_1 ^ 2) + (L_2 ^ 2) - (P_mag ^ 2)) / (2 * L_1 * L_2))</f>
        <v>0.24403735787004699</v>
      </c>
      <c r="W4">
        <f t="shared" si="4"/>
        <v>0.16097556023604231</v>
      </c>
      <c r="X4" s="49">
        <f t="shared" si="5"/>
        <v>2.3561944901923448</v>
      </c>
      <c r="Y4" s="32">
        <f t="shared" ref="Y4:Y8" si="7">V4*(180/PI())</f>
        <v>13.982310649477377</v>
      </c>
      <c r="Z4" s="32">
        <f t="shared" ref="Z4:Z8" si="8">W4*(180/PI())</f>
        <v>9.2232202062791835</v>
      </c>
      <c r="AA4" s="32">
        <f t="shared" ref="AA4:AA8" si="9">X4*(180/PI())</f>
        <v>135</v>
      </c>
    </row>
    <row r="5" spans="1:27" x14ac:dyDescent="0.25">
      <c r="A5" s="1" t="s">
        <v>33</v>
      </c>
      <c r="B5" s="31">
        <v>1</v>
      </c>
      <c r="C5" s="31">
        <v>-1</v>
      </c>
      <c r="D5" s="31">
        <v>-8.25</v>
      </c>
      <c r="E5" s="31">
        <f>-R_min*SQRT(3)/2</f>
        <v>-7.5777222831138378</v>
      </c>
      <c r="F5" s="31">
        <f>R_min*1/2</f>
        <v>4.375</v>
      </c>
      <c r="G5" s="31">
        <v>-2</v>
      </c>
      <c r="H5" s="31">
        <f>-R_max*SQRT(3)/2</f>
        <v>-13.639900109604907</v>
      </c>
      <c r="I5" s="31">
        <f>R_max*1/2</f>
        <v>7.875</v>
      </c>
      <c r="J5" s="31">
        <v>-0.2</v>
      </c>
      <c r="K5" s="31">
        <f>-R_r*SQRT(3)/2</f>
        <v>-10.608811196359373</v>
      </c>
      <c r="L5" s="31">
        <f>R_r*1/2</f>
        <v>6.125</v>
      </c>
      <c r="M5" s="31">
        <v>-1</v>
      </c>
      <c r="N5" s="31">
        <f>-R_b*SQRT(3)/2</f>
        <v>-5.8456714755449601</v>
      </c>
      <c r="O5" s="31">
        <f>R_b*1/2</f>
        <v>3.375</v>
      </c>
      <c r="P5" s="32">
        <v>0</v>
      </c>
      <c r="Q5" s="32">
        <f>150*PI()/180</f>
        <v>2.6179938779914944</v>
      </c>
      <c r="R5" s="31">
        <f t="shared" si="0"/>
        <v>-6.2116968793293985</v>
      </c>
      <c r="S5" s="31">
        <f t="shared" si="1"/>
        <v>4.7410254037844384</v>
      </c>
      <c r="T5" s="31">
        <f t="shared" si="2"/>
        <v>-8.25</v>
      </c>
      <c r="U5" s="32">
        <f t="shared" si="3"/>
        <v>8.3703345213916034</v>
      </c>
      <c r="V5">
        <f t="shared" si="6"/>
        <v>0.24403735787004699</v>
      </c>
      <c r="W5">
        <f t="shared" si="4"/>
        <v>0.16097556023604231</v>
      </c>
      <c r="X5" s="49">
        <f t="shared" si="5"/>
        <v>2.3561944901923448</v>
      </c>
      <c r="Y5" s="32">
        <f t="shared" si="7"/>
        <v>13.982310649477377</v>
      </c>
      <c r="Z5" s="32">
        <f t="shared" si="8"/>
        <v>9.2232202062791835</v>
      </c>
      <c r="AA5" s="32">
        <f t="shared" si="9"/>
        <v>135</v>
      </c>
    </row>
    <row r="6" spans="1:27" x14ac:dyDescent="0.25">
      <c r="A6" s="1" t="s">
        <v>34</v>
      </c>
      <c r="B6" s="31">
        <v>1</v>
      </c>
      <c r="C6" s="31">
        <v>-1</v>
      </c>
      <c r="D6" s="31">
        <v>-8.25</v>
      </c>
      <c r="E6" s="31">
        <f>-R_min*SQRT(3)/2</f>
        <v>-7.5777222831138378</v>
      </c>
      <c r="F6" s="31">
        <f>-R_min*1/2</f>
        <v>-4.375</v>
      </c>
      <c r="G6" s="31">
        <v>-2</v>
      </c>
      <c r="H6" s="31">
        <f>-R_max*SQRT(3)/2</f>
        <v>-13.639900109604907</v>
      </c>
      <c r="I6" s="31">
        <f>-R_max*1/2</f>
        <v>-7.875</v>
      </c>
      <c r="J6" s="31">
        <v>-0.2</v>
      </c>
      <c r="K6" s="31">
        <f>-R_r*SQRT(3)/2</f>
        <v>-10.608811196359373</v>
      </c>
      <c r="L6" s="31">
        <f>-R_r*1/2</f>
        <v>-6.125</v>
      </c>
      <c r="M6" s="31">
        <v>-1</v>
      </c>
      <c r="N6" s="31">
        <f>-R_b*SQRT(3)/2</f>
        <v>-5.8456714755449601</v>
      </c>
      <c r="O6" s="31">
        <f>-R_b*1/2</f>
        <v>-3.375</v>
      </c>
      <c r="P6" s="32">
        <v>0</v>
      </c>
      <c r="Q6" s="31">
        <f>210*PI()/180</f>
        <v>3.6651914291880923</v>
      </c>
      <c r="R6" s="31">
        <f t="shared" si="0"/>
        <v>-7.2116968793293985</v>
      </c>
      <c r="S6" s="31">
        <f t="shared" si="1"/>
        <v>-3.0089745962155616</v>
      </c>
      <c r="T6" s="31">
        <f t="shared" si="2"/>
        <v>-8.25</v>
      </c>
      <c r="U6" s="32">
        <f t="shared" si="3"/>
        <v>8.3703345213916034</v>
      </c>
      <c r="V6">
        <f t="shared" si="6"/>
        <v>0.24403735787004699</v>
      </c>
      <c r="W6">
        <f t="shared" si="4"/>
        <v>0.16097556023604231</v>
      </c>
      <c r="X6" s="49">
        <f t="shared" si="5"/>
        <v>2.3561944901923448</v>
      </c>
      <c r="Y6" s="32">
        <f t="shared" si="7"/>
        <v>13.982310649477377</v>
      </c>
      <c r="Z6" s="32">
        <f t="shared" si="8"/>
        <v>9.2232202062791835</v>
      </c>
      <c r="AA6" s="32">
        <f t="shared" si="9"/>
        <v>135</v>
      </c>
    </row>
    <row r="7" spans="1:27" x14ac:dyDescent="0.25">
      <c r="A7" s="1" t="s">
        <v>35</v>
      </c>
      <c r="B7" s="31">
        <v>1</v>
      </c>
      <c r="C7" s="31">
        <v>-1</v>
      </c>
      <c r="D7" s="31">
        <v>-8.25</v>
      </c>
      <c r="E7" s="31">
        <v>0</v>
      </c>
      <c r="F7" s="31">
        <f>-R_min</f>
        <v>-8.75</v>
      </c>
      <c r="G7" s="31">
        <v>-2</v>
      </c>
      <c r="H7" s="31">
        <v>0</v>
      </c>
      <c r="I7" s="31">
        <f>-R_max</f>
        <v>-15.75</v>
      </c>
      <c r="J7" s="31">
        <v>-0.2</v>
      </c>
      <c r="K7" s="31">
        <v>0</v>
      </c>
      <c r="L7" s="31">
        <f>-R_r</f>
        <v>-12.25</v>
      </c>
      <c r="M7" s="31">
        <v>-1</v>
      </c>
      <c r="N7" s="31">
        <v>0</v>
      </c>
      <c r="O7" s="31">
        <f>-R_b</f>
        <v>-6.75</v>
      </c>
      <c r="P7" s="32">
        <v>0</v>
      </c>
      <c r="Q7" s="32">
        <f>270*PI()/180</f>
        <v>4.7123889803846897</v>
      </c>
      <c r="R7" s="31">
        <f t="shared" si="0"/>
        <v>-1.0000000000000002</v>
      </c>
      <c r="S7" s="31">
        <f t="shared" si="1"/>
        <v>-7.75</v>
      </c>
      <c r="T7" s="31">
        <f t="shared" si="2"/>
        <v>-8.25</v>
      </c>
      <c r="U7" s="32">
        <f t="shared" si="3"/>
        <v>8.3703345213916034</v>
      </c>
      <c r="V7">
        <f t="shared" si="6"/>
        <v>0.24403735787004699</v>
      </c>
      <c r="W7">
        <f t="shared" si="4"/>
        <v>0.16097556023604231</v>
      </c>
      <c r="X7" s="49">
        <f t="shared" si="5"/>
        <v>2.3561944901923448</v>
      </c>
      <c r="Y7" s="32">
        <f t="shared" si="7"/>
        <v>13.982310649477377</v>
      </c>
      <c r="Z7" s="32">
        <f t="shared" si="8"/>
        <v>9.2232202062791835</v>
      </c>
      <c r="AA7" s="32">
        <f t="shared" si="9"/>
        <v>135</v>
      </c>
    </row>
    <row r="8" spans="1:27" x14ac:dyDescent="0.25">
      <c r="A8" s="1" t="s">
        <v>36</v>
      </c>
      <c r="B8" s="31">
        <v>1</v>
      </c>
      <c r="C8" s="31">
        <v>-1</v>
      </c>
      <c r="D8" s="31">
        <v>-8.25</v>
      </c>
      <c r="E8" s="31">
        <f>R_min*SQRT(3)/2</f>
        <v>7.5777222831138378</v>
      </c>
      <c r="F8" s="31">
        <f>-R_min*1/2</f>
        <v>-4.375</v>
      </c>
      <c r="G8" s="31">
        <v>-2</v>
      </c>
      <c r="H8" s="31">
        <f>R_max*SQRT(3)/2</f>
        <v>13.639900109604907</v>
      </c>
      <c r="I8" s="31">
        <f>-R_max*1/2</f>
        <v>-7.875</v>
      </c>
      <c r="J8" s="31">
        <v>-0.2</v>
      </c>
      <c r="K8" s="31">
        <f>R_r*SQRT(3)/2</f>
        <v>10.608811196359373</v>
      </c>
      <c r="L8" s="31">
        <f>-R_r*1/2</f>
        <v>-6.125</v>
      </c>
      <c r="M8" s="31">
        <v>-1</v>
      </c>
      <c r="N8" s="31">
        <f>R_b*SQRT(3)/2</f>
        <v>5.8456714755449601</v>
      </c>
      <c r="O8" s="31">
        <f>-R_b*1/2</f>
        <v>-3.375</v>
      </c>
      <c r="P8" s="32">
        <v>0</v>
      </c>
      <c r="Q8" s="31">
        <f>330*PI()/180</f>
        <v>5.7595865315812871</v>
      </c>
      <c r="R8" s="31">
        <f t="shared" si="0"/>
        <v>6.2116968793293985</v>
      </c>
      <c r="S8" s="31">
        <f t="shared" si="1"/>
        <v>-4.7410254037844393</v>
      </c>
      <c r="T8" s="31">
        <f t="shared" si="2"/>
        <v>-8.25</v>
      </c>
      <c r="U8" s="32">
        <f t="shared" si="3"/>
        <v>8.3703345213916034</v>
      </c>
      <c r="V8">
        <f t="shared" si="6"/>
        <v>0.24403735787004699</v>
      </c>
      <c r="W8">
        <f t="shared" si="4"/>
        <v>0.16097556023604231</v>
      </c>
      <c r="X8" s="49">
        <f t="shared" si="5"/>
        <v>2.3561944901923448</v>
      </c>
      <c r="Y8" s="32">
        <f t="shared" si="7"/>
        <v>13.982310649477377</v>
      </c>
      <c r="Z8" s="32">
        <f t="shared" si="8"/>
        <v>9.2232202062791835</v>
      </c>
      <c r="AA8" s="32">
        <f t="shared" si="9"/>
        <v>135</v>
      </c>
    </row>
    <row r="9" spans="1:27" x14ac:dyDescent="0.25">
      <c r="D9" s="33"/>
      <c r="E9" s="40">
        <f>E3</f>
        <v>7.5777222831138378</v>
      </c>
      <c r="F9" s="40">
        <f>F3</f>
        <v>4.375</v>
      </c>
      <c r="G9" s="33"/>
      <c r="H9" s="40">
        <f>H3</f>
        <v>13.639900109604907</v>
      </c>
      <c r="I9" s="40">
        <f>I3</f>
        <v>7.875</v>
      </c>
      <c r="J9" s="33"/>
      <c r="K9" s="33"/>
      <c r="L9" s="33"/>
      <c r="M9" s="33"/>
      <c r="N9" s="41"/>
      <c r="O9" s="41"/>
    </row>
    <row r="10" spans="1:27" x14ac:dyDescent="0.25">
      <c r="A10" s="30" t="s">
        <v>3</v>
      </c>
      <c r="B10" s="34">
        <v>3</v>
      </c>
    </row>
    <row r="11" spans="1:27" x14ac:dyDescent="0.25">
      <c r="A11" s="30" t="s">
        <v>0</v>
      </c>
      <c r="B11" s="34">
        <v>11.25</v>
      </c>
    </row>
    <row r="12" spans="1:27" x14ac:dyDescent="0.25">
      <c r="A12" s="21" t="s">
        <v>20</v>
      </c>
      <c r="B12" s="38">
        <v>5.5</v>
      </c>
      <c r="C12" s="39">
        <f>B12+R_b</f>
        <v>12.25</v>
      </c>
    </row>
    <row r="13" spans="1:27" x14ac:dyDescent="0.25">
      <c r="A13" s="21" t="s">
        <v>94</v>
      </c>
      <c r="B13" s="38">
        <f>13.5/2</f>
        <v>6.75</v>
      </c>
      <c r="C13" s="39"/>
    </row>
    <row r="14" spans="1:27" x14ac:dyDescent="0.25">
      <c r="A14" s="21" t="s">
        <v>49</v>
      </c>
      <c r="B14" s="38">
        <v>2</v>
      </c>
      <c r="C14" s="39">
        <f>B14+R_b</f>
        <v>8.75</v>
      </c>
    </row>
    <row r="15" spans="1:27" x14ac:dyDescent="0.25">
      <c r="A15" s="21" t="s">
        <v>50</v>
      </c>
      <c r="B15" s="38">
        <v>9</v>
      </c>
      <c r="C15" s="39">
        <f>B15+R_b</f>
        <v>15.75</v>
      </c>
    </row>
    <row r="16" spans="1:27" x14ac:dyDescent="0.25">
      <c r="P16" s="29"/>
      <c r="Q16" s="29"/>
      <c r="R16" s="29"/>
      <c r="S16" s="29"/>
      <c r="T16" s="29"/>
    </row>
    <row r="17" spans="1:1" x14ac:dyDescent="0.25">
      <c r="A17" s="21" t="s">
        <v>84</v>
      </c>
    </row>
  </sheetData>
  <mergeCells count="8">
    <mergeCell ref="V1:X1"/>
    <mergeCell ref="Y1:AA1"/>
    <mergeCell ref="N1:P1"/>
    <mergeCell ref="B1:D1"/>
    <mergeCell ref="E1:G1"/>
    <mergeCell ref="H1:J1"/>
    <mergeCell ref="Q1:T1"/>
    <mergeCell ref="K1:M1"/>
  </mergeCells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K30" sqref="K3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Foot Vectors</vt:lpstr>
      <vt:lpstr>Gait Data</vt:lpstr>
      <vt:lpstr>Angles</vt:lpstr>
      <vt:lpstr>Simulation</vt:lpstr>
      <vt:lpstr>A_global</vt:lpstr>
      <vt:lpstr>L_1</vt:lpstr>
      <vt:lpstr>L_2</vt:lpstr>
      <vt:lpstr>P_mag</vt:lpstr>
      <vt:lpstr>R_b</vt:lpstr>
      <vt:lpstr>R_max</vt:lpstr>
      <vt:lpstr>R_min</vt:lpstr>
      <vt:lpstr>R_r</vt:lpstr>
      <vt:lpstr>X</vt:lpstr>
      <vt:lpstr>X_base</vt:lpstr>
      <vt:lpstr>Y</vt:lpstr>
      <vt:lpstr>Y_base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2018-05-17T23:59:16Z</dcterms:modified>
</cp:coreProperties>
</file>