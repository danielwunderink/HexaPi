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filterPrivacy="1" codeName="ThisWorkbook"/>
  <bookViews>
    <workbookView xWindow="0" yWindow="0" windowWidth="22260" windowHeight="12648" tabRatio="528" firstSheet="1" activeTab="7"/>
  </bookViews>
  <sheets>
    <sheet name="Foot Vectors" sheetId="2" r:id="rId1"/>
    <sheet name="Gait Patterns" sheetId="5" r:id="rId2"/>
    <sheet name="Sheet3" sheetId="9" r:id="rId3"/>
    <sheet name="Angles" sheetId="1" r:id="rId4"/>
    <sheet name="F(t)" sheetId="7" r:id="rId5"/>
    <sheet name="G(t)" sheetId="8" r:id="rId6"/>
    <sheet name="Example step" sheetId="6" r:id="rId7"/>
    <sheet name="Gate Calced" sheetId="10" r:id="rId8"/>
    <sheet name="Sheet5" sheetId="11" r:id="rId9"/>
  </sheets>
  <definedNames>
    <definedName name="A_global">Angles!$Q$3:$Q$8</definedName>
    <definedName name="Alpha">Angles!$U$3:$U$8</definedName>
    <definedName name="Beta">Angles!$W$3:$W$8</definedName>
    <definedName name="h">'Example step'!$B$5</definedName>
    <definedName name="L_1">Angles!$B$10</definedName>
    <definedName name="L_2">Angles!$B$11</definedName>
    <definedName name="R_b">Angles!$B$13</definedName>
    <definedName name="R_max">Angles!$B$15</definedName>
    <definedName name="R_min">Angles!$B$14</definedName>
    <definedName name="R_r">Angles!$B$12</definedName>
    <definedName name="t">'Example step'!$B$4</definedName>
    <definedName name="Theta">Angles!$V$3:$V$8</definedName>
    <definedName name="X">Angles!$B$3:$B$8</definedName>
    <definedName name="X_base">Angles!$N$3:$N$8</definedName>
    <definedName name="Y">Angles!$C$3:$C$8</definedName>
    <definedName name="Y_base">Angles!$O$3:$O$8</definedName>
    <definedName name="Z">Angles!$D$3:$D$8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1" i="5" l="1"/>
  <c r="AC21" i="5"/>
  <c r="AB22" i="5"/>
  <c r="AC22" i="5"/>
  <c r="AB23" i="5"/>
  <c r="AC23" i="5" s="1"/>
  <c r="AB24" i="5"/>
  <c r="AC24" i="5" s="1"/>
  <c r="AB25" i="5"/>
  <c r="AC25" i="5"/>
  <c r="AC20" i="5"/>
  <c r="AB20" i="5"/>
  <c r="AA20" i="5"/>
  <c r="AA25" i="5"/>
  <c r="AA24" i="5"/>
  <c r="AA23" i="5"/>
  <c r="AA22" i="5"/>
  <c r="AA21" i="5"/>
  <c r="AC12" i="5"/>
  <c r="AC13" i="5"/>
  <c r="AC14" i="5"/>
  <c r="AC15" i="5"/>
  <c r="AC16" i="5"/>
  <c r="AC11" i="5"/>
  <c r="AB12" i="5"/>
  <c r="AB13" i="5"/>
  <c r="AB14" i="5"/>
  <c r="AB15" i="5"/>
  <c r="AB16" i="5"/>
  <c r="AB11" i="5"/>
  <c r="AA12" i="5"/>
  <c r="AA13" i="5"/>
  <c r="AA14" i="5"/>
  <c r="AA15" i="5"/>
  <c r="AA16" i="5"/>
  <c r="AA11" i="5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2" i="7"/>
  <c r="B2" i="8"/>
  <c r="B3" i="8" s="1"/>
  <c r="A3" i="8" s="1"/>
  <c r="B2" i="7"/>
  <c r="B3" i="7" s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A2" i="8" l="1"/>
  <c r="B4" i="8"/>
  <c r="A4" i="8" s="1"/>
  <c r="R3" i="1"/>
  <c r="N3" i="1"/>
  <c r="B5" i="8" l="1"/>
  <c r="A5" i="8" s="1"/>
  <c r="T3" i="2"/>
  <c r="S3" i="2"/>
  <c r="R3" i="2"/>
  <c r="Q3" i="2"/>
  <c r="P3" i="2"/>
  <c r="O3" i="2"/>
  <c r="N3" i="2"/>
  <c r="M3" i="2"/>
  <c r="L3" i="2"/>
  <c r="K3" i="2"/>
  <c r="J3" i="2"/>
  <c r="I3" i="2"/>
  <c r="B6" i="8" l="1"/>
  <c r="A6" i="8" s="1"/>
  <c r="Q8" i="1"/>
  <c r="Q7" i="1"/>
  <c r="R7" i="1" s="1"/>
  <c r="Q6" i="1"/>
  <c r="Q5" i="1"/>
  <c r="S5" i="1" s="1"/>
  <c r="Q4" i="1"/>
  <c r="S4" i="1" s="1"/>
  <c r="Q3" i="1"/>
  <c r="S6" i="1"/>
  <c r="S8" i="1"/>
  <c r="R6" i="1"/>
  <c r="R8" i="1"/>
  <c r="L7" i="1"/>
  <c r="L3" i="1"/>
  <c r="L4" i="1"/>
  <c r="L5" i="1"/>
  <c r="L6" i="1"/>
  <c r="L8" i="1"/>
  <c r="K8" i="1"/>
  <c r="K6" i="1"/>
  <c r="K5" i="1"/>
  <c r="K3" i="1"/>
  <c r="T4" i="1"/>
  <c r="T5" i="1"/>
  <c r="T6" i="1"/>
  <c r="T7" i="1"/>
  <c r="T8" i="1"/>
  <c r="T3" i="1"/>
  <c r="U4" i="1"/>
  <c r="V4" i="1" s="1"/>
  <c r="W4" i="1"/>
  <c r="Z4" i="1" s="1"/>
  <c r="U5" i="1"/>
  <c r="V5" i="1" s="1"/>
  <c r="W5" i="1"/>
  <c r="Z5" i="1" s="1"/>
  <c r="U6" i="1"/>
  <c r="V6" i="1" s="1"/>
  <c r="W6" i="1"/>
  <c r="Z6" i="1" s="1"/>
  <c r="U7" i="1"/>
  <c r="V7" i="1" s="1"/>
  <c r="W7" i="1"/>
  <c r="Z7" i="1" s="1"/>
  <c r="U8" i="1"/>
  <c r="V8" i="1" s="1"/>
  <c r="W8" i="1"/>
  <c r="Z8" i="1" s="1"/>
  <c r="W3" i="1"/>
  <c r="Z3" i="1" s="1"/>
  <c r="U3" i="1"/>
  <c r="V3" i="1" s="1"/>
  <c r="O4" i="1"/>
  <c r="I8" i="1"/>
  <c r="I7" i="1"/>
  <c r="I6" i="1"/>
  <c r="I5" i="1"/>
  <c r="I4" i="1"/>
  <c r="I3" i="1"/>
  <c r="H8" i="1"/>
  <c r="H6" i="1"/>
  <c r="H5" i="1"/>
  <c r="H3" i="1"/>
  <c r="F8" i="1"/>
  <c r="F7" i="1"/>
  <c r="F6" i="1"/>
  <c r="F5" i="1"/>
  <c r="F4" i="1"/>
  <c r="F3" i="1"/>
  <c r="E8" i="1"/>
  <c r="E6" i="1"/>
  <c r="E5" i="1"/>
  <c r="E3" i="1"/>
  <c r="B7" i="8" l="1"/>
  <c r="A7" i="8" s="1"/>
  <c r="Y6" i="1"/>
  <c r="Y4" i="1"/>
  <c r="Y5" i="1"/>
  <c r="Y8" i="1"/>
  <c r="Y7" i="1"/>
  <c r="Y3" i="1"/>
  <c r="S7" i="1"/>
  <c r="R5" i="1"/>
  <c r="R4" i="1"/>
  <c r="S3" i="1"/>
  <c r="O5" i="1"/>
  <c r="O6" i="1"/>
  <c r="X3" i="1"/>
  <c r="O7" i="1"/>
  <c r="N5" i="1"/>
  <c r="O8" i="1"/>
  <c r="N6" i="1"/>
  <c r="N8" i="1"/>
  <c r="O3" i="1"/>
  <c r="X5" i="1"/>
  <c r="X6" i="1"/>
  <c r="B8" i="8" l="1"/>
  <c r="A8" i="8" s="1"/>
  <c r="X7" i="1"/>
  <c r="X8" i="1"/>
  <c r="X4" i="1"/>
  <c r="B9" i="8" l="1"/>
  <c r="A9" i="8" s="1"/>
  <c r="D16" i="2"/>
  <c r="V4" i="2" s="1"/>
  <c r="D17" i="2"/>
  <c r="W4" i="2" s="1"/>
  <c r="D15" i="2"/>
  <c r="U4" i="2" s="1"/>
  <c r="C8" i="2"/>
  <c r="C7" i="2"/>
  <c r="C6" i="2"/>
  <c r="C5" i="2"/>
  <c r="C4" i="2"/>
  <c r="C3" i="2"/>
  <c r="B8" i="2"/>
  <c r="B6" i="2"/>
  <c r="B5" i="2"/>
  <c r="B3" i="2"/>
  <c r="B10" i="8" l="1"/>
  <c r="A10" i="8" s="1"/>
  <c r="D4" i="2"/>
  <c r="D7" i="2"/>
  <c r="D3" i="2"/>
  <c r="F3" i="2" s="1"/>
  <c r="J4" i="2" s="1"/>
  <c r="D5" i="2"/>
  <c r="D6" i="2"/>
  <c r="D8" i="2"/>
  <c r="B11" i="8" l="1"/>
  <c r="A11" i="8" s="1"/>
  <c r="E3" i="2"/>
  <c r="I4" i="2" s="1"/>
  <c r="E7" i="2"/>
  <c r="Q4" i="2" s="1"/>
  <c r="E8" i="2"/>
  <c r="S4" i="2" s="1"/>
  <c r="F7" i="2"/>
  <c r="R4" i="2" s="1"/>
  <c r="E6" i="2"/>
  <c r="O4" i="2" s="1"/>
  <c r="F6" i="2"/>
  <c r="P4" i="2" s="1"/>
  <c r="E4" i="2"/>
  <c r="K4" i="2" s="1"/>
  <c r="F4" i="2"/>
  <c r="L4" i="2" s="1"/>
  <c r="E5" i="2"/>
  <c r="M4" i="2" s="1"/>
  <c r="F5" i="2"/>
  <c r="N4" i="2" s="1"/>
  <c r="F8" i="2"/>
  <c r="T4" i="2" s="1"/>
  <c r="B12" i="8" l="1"/>
  <c r="A12" i="8" s="1"/>
  <c r="B13" i="8" l="1"/>
  <c r="A13" i="8" s="1"/>
  <c r="B14" i="8" l="1"/>
  <c r="A14" i="8" s="1"/>
  <c r="B15" i="8" l="1"/>
  <c r="A15" i="8" s="1"/>
  <c r="B16" i="8" l="1"/>
  <c r="A16" i="8" s="1"/>
  <c r="B17" i="8" l="1"/>
  <c r="A17" i="8" s="1"/>
  <c r="B18" i="8" l="1"/>
  <c r="A18" i="8" s="1"/>
  <c r="B19" i="8" l="1"/>
  <c r="A19" i="8" s="1"/>
  <c r="B20" i="8" l="1"/>
  <c r="A20" i="8" s="1"/>
  <c r="B21" i="8" l="1"/>
  <c r="A21" i="8" s="1"/>
  <c r="B22" i="8" l="1"/>
  <c r="A22" i="8" s="1"/>
  <c r="B23" i="8" l="1"/>
  <c r="A23" i="8" s="1"/>
  <c r="B24" i="8" l="1"/>
  <c r="A24" i="8" s="1"/>
  <c r="B25" i="8" l="1"/>
  <c r="A25" i="8" s="1"/>
  <c r="B26" i="8" l="1"/>
  <c r="A26" i="8" s="1"/>
  <c r="B27" i="8" l="1"/>
  <c r="A27" i="8" s="1"/>
  <c r="B28" i="8" l="1"/>
  <c r="A28" i="8" s="1"/>
  <c r="B29" i="8" l="1"/>
  <c r="A29" i="8" s="1"/>
  <c r="B30" i="8" l="1"/>
  <c r="A30" i="8" s="1"/>
  <c r="B31" i="8" l="1"/>
  <c r="A31" i="8" s="1"/>
  <c r="B32" i="8" l="1"/>
  <c r="A32" i="8" s="1"/>
  <c r="B33" i="8" l="1"/>
  <c r="A33" i="8" s="1"/>
  <c r="B34" i="8" l="1"/>
  <c r="A34" i="8" s="1"/>
  <c r="B35" i="8" l="1"/>
  <c r="A35" i="8" s="1"/>
  <c r="B36" i="8" l="1"/>
  <c r="A36" i="8" s="1"/>
  <c r="B37" i="8" l="1"/>
  <c r="A37" i="8" s="1"/>
  <c r="B38" i="8" l="1"/>
  <c r="A38" i="8" s="1"/>
  <c r="B39" i="8" l="1"/>
  <c r="A39" i="8" s="1"/>
  <c r="B40" i="8" l="1"/>
  <c r="A40" i="8" s="1"/>
  <c r="B41" i="8" l="1"/>
  <c r="A41" i="8" s="1"/>
</calcChain>
</file>

<file path=xl/sharedStrings.xml><?xml version="1.0" encoding="utf-8"?>
<sst xmlns="http://schemas.openxmlformats.org/spreadsheetml/2006/main" count="298" uniqueCount="92">
  <si>
    <t>Alpha</t>
  </si>
  <si>
    <t>Claw (L_2)</t>
  </si>
  <si>
    <t>x</t>
  </si>
  <si>
    <t>y</t>
  </si>
  <si>
    <t xml:space="preserve">Arm (L_1) </t>
  </si>
  <si>
    <t>In Degrees</t>
  </si>
  <si>
    <t>In Radians</t>
  </si>
  <si>
    <t>Theta</t>
  </si>
  <si>
    <t>Beta</t>
  </si>
  <si>
    <t>Leg 1</t>
  </si>
  <si>
    <t>foot 1</t>
  </si>
  <si>
    <t>foot 2</t>
  </si>
  <si>
    <t>foot 3</t>
  </si>
  <si>
    <t>foot 4</t>
  </si>
  <si>
    <t>foot 5</t>
  </si>
  <si>
    <t>foot 6</t>
  </si>
  <si>
    <t>Joystick 1</t>
  </si>
  <si>
    <t>Joystick 2</t>
  </si>
  <si>
    <t>Qx</t>
  </si>
  <si>
    <t>Qy</t>
  </si>
  <si>
    <t>T</t>
  </si>
  <si>
    <t>angle</t>
  </si>
  <si>
    <t>theta</t>
  </si>
  <si>
    <t>datum</t>
  </si>
  <si>
    <t>Resting Radius</t>
  </si>
  <si>
    <t>Body Radius</t>
  </si>
  <si>
    <t>vector</t>
  </si>
  <si>
    <t>(-1 to 1)</t>
  </si>
  <si>
    <t>Value</t>
  </si>
  <si>
    <t>Range</t>
  </si>
  <si>
    <t>Variable</t>
  </si>
  <si>
    <t>Joystick Inputs</t>
  </si>
  <si>
    <t>Tripod</t>
  </si>
  <si>
    <t>leg 1</t>
  </si>
  <si>
    <t>leg 2</t>
  </si>
  <si>
    <t>leg 3</t>
  </si>
  <si>
    <t>leg 4</t>
  </si>
  <si>
    <t>leg 5</t>
  </si>
  <si>
    <t>leg 6</t>
  </si>
  <si>
    <t>Leg 2</t>
  </si>
  <si>
    <t>Leg 3</t>
  </si>
  <si>
    <t>Leg 4</t>
  </si>
  <si>
    <t>Leg 5</t>
  </si>
  <si>
    <t>Leg 6</t>
  </si>
  <si>
    <t>Smooth Tripod</t>
  </si>
  <si>
    <t>Ripple</t>
  </si>
  <si>
    <t>Smoth Ripple</t>
  </si>
  <si>
    <t>BODY Radius</t>
  </si>
  <si>
    <t>Datum</t>
  </si>
  <si>
    <t>oh the ground</t>
  </si>
  <si>
    <t>in the air</t>
  </si>
  <si>
    <t>C</t>
  </si>
  <si>
    <t>D</t>
  </si>
  <si>
    <t>A</t>
  </si>
  <si>
    <t>B</t>
  </si>
  <si>
    <t>x'</t>
  </si>
  <si>
    <t>y'</t>
  </si>
  <si>
    <t>X</t>
  </si>
  <si>
    <t>Y</t>
  </si>
  <si>
    <t>Z</t>
  </si>
  <si>
    <t>Local Coordinates</t>
  </si>
  <si>
    <t>Global Coordinates</t>
  </si>
  <si>
    <t>Angle</t>
  </si>
  <si>
    <t>Leg Base Coordinates</t>
  </si>
  <si>
    <t>Limit Coordinates (min)</t>
  </si>
  <si>
    <t>Limit Coordinates (max)</t>
  </si>
  <si>
    <t>Limit min</t>
  </si>
  <si>
    <t>Limit max</t>
  </si>
  <si>
    <t>Foot vector Datum</t>
  </si>
  <si>
    <t>Foot 1</t>
  </si>
  <si>
    <t>Foot 2</t>
  </si>
  <si>
    <t>Foot 3</t>
  </si>
  <si>
    <t>Foot 4</t>
  </si>
  <si>
    <t>Foot 5</t>
  </si>
  <si>
    <t>Foot 6</t>
  </si>
  <si>
    <t>Vector</t>
  </si>
  <si>
    <t>Direction</t>
  </si>
  <si>
    <t>Rotation</t>
  </si>
  <si>
    <t>G(t)</t>
  </si>
  <si>
    <t>t</t>
  </si>
  <si>
    <t>Fx</t>
  </si>
  <si>
    <t>Gx</t>
  </si>
  <si>
    <t>FX</t>
  </si>
  <si>
    <t>GX</t>
  </si>
  <si>
    <t>Foot</t>
  </si>
  <si>
    <t>Total</t>
  </si>
  <si>
    <t xml:space="preserve">A </t>
  </si>
  <si>
    <t xml:space="preserve">C </t>
  </si>
  <si>
    <t>A offset</t>
  </si>
  <si>
    <t>a</t>
  </si>
  <si>
    <t>b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</si>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</sst>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9" xfId="0" applyFont="1" applyBorder="1"/>
    <xf numFmtId="0" fontId="0" fillId="2" borderId="9" xfId="0" applyFont="1" applyFill="1" applyBorder="1"/>
    <xf numFmtId="0" fontId="0" fillId="0" borderId="10" xfId="0" applyFont="1" applyBorder="1"/>
    <xf numFmtId="0" fontId="0" fillId="2" borderId="10" xfId="0" applyFont="1" applyFill="1" applyBorder="1"/>
    <xf numFmtId="0" fontId="0" fillId="2" borderId="11" xfId="0" applyFont="1" applyFill="1" applyBorder="1"/>
    <xf numFmtId="164" fontId="0" fillId="0" borderId="4" xfId="0" applyNumberFormat="1" applyFont="1" applyBorder="1" applyAlignment="1">
      <alignment horizontal="center"/>
    </xf>
    <xf numFmtId="164" fontId="0" fillId="0" borderId="7" xfId="0" applyNumberFormat="1" applyFont="1" applyBorder="1" applyAlignment="1">
      <alignment horizontal="center"/>
    </xf>
    <xf numFmtId="164" fontId="0" fillId="2" borderId="4" xfId="0" applyNumberFormat="1" applyFont="1" applyFill="1" applyBorder="1" applyAlignment="1">
      <alignment horizontal="center"/>
    </xf>
    <xf numFmtId="164" fontId="0" fillId="2" borderId="7" xfId="0" applyNumberFormat="1" applyFont="1" applyFill="1" applyBorder="1" applyAlignment="1">
      <alignment horizontal="center"/>
    </xf>
    <xf numFmtId="164" fontId="0" fillId="2" borderId="5" xfId="0" applyNumberFormat="1" applyFont="1" applyFill="1" applyBorder="1" applyAlignment="1">
      <alignment horizontal="center"/>
    </xf>
    <xf numFmtId="164" fontId="0" fillId="2" borderId="8" xfId="0" applyNumberFormat="1" applyFont="1" applyFill="1" applyBorder="1" applyAlignment="1">
      <alignment horizontal="center"/>
    </xf>
    <xf numFmtId="164" fontId="0" fillId="0" borderId="0" xfId="0" applyNumberFormat="1" applyFont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/>
    </xf>
    <xf numFmtId="0" fontId="0" fillId="2" borderId="13" xfId="0" applyFont="1" applyFill="1" applyBorder="1" applyAlignment="1">
      <alignment horizontal="center"/>
    </xf>
    <xf numFmtId="0" fontId="0" fillId="2" borderId="14" xfId="0" applyFont="1" applyFill="1" applyBorder="1" applyAlignment="1">
      <alignment horizontal="center"/>
    </xf>
    <xf numFmtId="0" fontId="0" fillId="2" borderId="0" xfId="0" applyFont="1" applyFill="1" applyBorder="1"/>
    <xf numFmtId="164" fontId="0" fillId="2" borderId="15" xfId="0" applyNumberFormat="1" applyFont="1" applyFill="1" applyBorder="1" applyAlignment="1">
      <alignment horizontal="center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0" fontId="0" fillId="3" borderId="0" xfId="0" applyFill="1"/>
    <xf numFmtId="0" fontId="0" fillId="0" borderId="0" xfId="0" applyFill="1"/>
    <xf numFmtId="0" fontId="0" fillId="0" borderId="0" xfId="0" applyAlignment="1"/>
    <xf numFmtId="0" fontId="0" fillId="0" borderId="16" xfId="0" applyBorder="1"/>
    <xf numFmtId="0" fontId="4" fillId="3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2" fontId="0" fillId="0" borderId="0" xfId="0" applyNumberFormat="1" applyFont="1"/>
    <xf numFmtId="2" fontId="0" fillId="0" borderId="0" xfId="0" applyNumberFormat="1"/>
    <xf numFmtId="164" fontId="0" fillId="0" borderId="0" xfId="0" applyNumberFormat="1" applyFont="1"/>
    <xf numFmtId="0" fontId="0" fillId="0" borderId="0" xfId="0" applyAlignment="1">
      <alignment horizontal="center" vertical="center"/>
    </xf>
    <xf numFmtId="164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9261083743842367E-2"/>
          <c:w val="0.71454057805398574"/>
          <c:h val="0.847269953324799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'Foot Vectors'!$I$1:$J$1</c:f>
              <c:strCache>
                <c:ptCount val="1"/>
                <c:pt idx="0">
                  <c:v>Foot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Vectors'!$I$3:$I$4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2.598076211353316</c:v>
                </c:pt>
              </c:numCache>
            </c:numRef>
          </c:xVal>
          <c:yVal>
            <c:numRef>
              <c:f>'Foot Vectors'!$J$3:$J$4</c:f>
              <c:numCache>
                <c:formatCode>0.000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BC-473A-A31F-CDE236311C92}"/>
            </c:ext>
          </c:extLst>
        </c:ser>
        <c:ser>
          <c:idx val="1"/>
          <c:order val="1"/>
          <c:tx>
            <c:strRef>
              <c:f>'Foot Vectors'!$K$1:$L$1</c:f>
              <c:strCache>
                <c:ptCount val="1"/>
                <c:pt idx="0">
                  <c:v>Foot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Vectors'!$K$3:$K$4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Vectors'!$L$3:$L$4</c:f>
              <c:numCache>
                <c:formatCode>0.000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CBC-473A-A31F-CDE236311C92}"/>
            </c:ext>
          </c:extLst>
        </c:ser>
        <c:ser>
          <c:idx val="2"/>
          <c:order val="2"/>
          <c:tx>
            <c:strRef>
              <c:f>'Foot Vectors'!$M$1:$N$1</c:f>
              <c:strCache>
                <c:ptCount val="1"/>
                <c:pt idx="0">
                  <c:v>Foot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Vectors'!$M$3:$M$4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-2.598076211353316</c:v>
                </c:pt>
              </c:numCache>
            </c:numRef>
          </c:xVal>
          <c:yVal>
            <c:numRef>
              <c:f>'Foot Vectors'!$N$3:$N$4</c:f>
              <c:numCache>
                <c:formatCode>0.000</c:formatCode>
                <c:ptCount val="2"/>
                <c:pt idx="0">
                  <c:v>1.5</c:v>
                </c:pt>
                <c:pt idx="1">
                  <c:v>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CBC-473A-A31F-CDE236311C92}"/>
            </c:ext>
          </c:extLst>
        </c:ser>
        <c:ser>
          <c:idx val="3"/>
          <c:order val="3"/>
          <c:tx>
            <c:strRef>
              <c:f>'Foot Vectors'!$O$1:$P$1</c:f>
              <c:strCache>
                <c:ptCount val="1"/>
                <c:pt idx="0">
                  <c:v>Foot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Vectors'!$O$3:$O$4</c:f>
              <c:numCache>
                <c:formatCode>0.000</c:formatCode>
                <c:ptCount val="2"/>
                <c:pt idx="0">
                  <c:v>-2.598076211353316</c:v>
                </c:pt>
                <c:pt idx="1">
                  <c:v>-2.598076211353316</c:v>
                </c:pt>
              </c:numCache>
            </c:numRef>
          </c:xVal>
          <c:yVal>
            <c:numRef>
              <c:f>'Foot Vectors'!$P$3:$P$4</c:f>
              <c:numCache>
                <c:formatCode>0.000</c:formatCode>
                <c:ptCount val="2"/>
                <c:pt idx="0">
                  <c:v>-1.5</c:v>
                </c:pt>
                <c:pt idx="1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CBC-473A-A31F-CDE236311C92}"/>
            </c:ext>
          </c:extLst>
        </c:ser>
        <c:ser>
          <c:idx val="4"/>
          <c:order val="4"/>
          <c:tx>
            <c:strRef>
              <c:f>'Foot Vectors'!$Q$1:$R$1</c:f>
              <c:strCache>
                <c:ptCount val="1"/>
                <c:pt idx="0">
                  <c:v>Foot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Vectors'!$Q$3:$Q$4</c:f>
              <c:numCache>
                <c:formatCode>0.000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Vectors'!$R$3:$R$4</c:f>
              <c:numCache>
                <c:formatCode>0.000</c:formatCode>
                <c:ptCount val="2"/>
                <c:pt idx="0">
                  <c:v>-3</c:v>
                </c:pt>
                <c:pt idx="1">
                  <c:v>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CBC-473A-A31F-CDE236311C92}"/>
            </c:ext>
          </c:extLst>
        </c:ser>
        <c:ser>
          <c:idx val="5"/>
          <c:order val="5"/>
          <c:tx>
            <c:strRef>
              <c:f>'Foot Vectors'!$S$1:$T$1</c:f>
              <c:strCache>
                <c:ptCount val="1"/>
                <c:pt idx="0">
                  <c:v>Foot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'Foot Vectors'!$S$3:$S$4</c:f>
              <c:numCache>
                <c:formatCode>0.000</c:formatCode>
                <c:ptCount val="2"/>
                <c:pt idx="0">
                  <c:v>2.598076211353316</c:v>
                </c:pt>
                <c:pt idx="1">
                  <c:v>2.598076211353316</c:v>
                </c:pt>
              </c:numCache>
            </c:numRef>
          </c:xVal>
          <c:yVal>
            <c:numRef>
              <c:f>'Foot Vectors'!$T$3:$T$4</c:f>
              <c:numCache>
                <c:formatCode>0.000</c:formatCode>
                <c:ptCount val="2"/>
                <c:pt idx="0">
                  <c:v>-1.5</c:v>
                </c:pt>
                <c:pt idx="1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CBC-473A-A31F-CDE236311C92}"/>
            </c:ext>
          </c:extLst>
        </c:ser>
        <c:ser>
          <c:idx val="6"/>
          <c:order val="6"/>
          <c:tx>
            <c:strRef>
              <c:f>'Foot Vectors'!$U$1:$V$1</c:f>
              <c:strCache>
                <c:ptCount val="1"/>
                <c:pt idx="0">
                  <c:v>Direction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Vectors'!$U$3:$U$4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Vectors'!$V$3:$V$4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CBC-473A-A31F-CDE236311C92}"/>
            </c:ext>
          </c:extLst>
        </c:ser>
        <c:ser>
          <c:idx val="7"/>
          <c:order val="7"/>
          <c:tx>
            <c:strRef>
              <c:f>'Foot Vectors'!$W$1</c:f>
              <c:strCache>
                <c:ptCount val="1"/>
                <c:pt idx="0">
                  <c:v>Rotation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'Foot Vectors'!$W$3:$W$4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'Foot Vectors'!$X$3:$X$4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CBC-473A-A31F-CDE236311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548293568665031"/>
          <c:y val="0.16312432928642542"/>
          <c:w val="0.1729086101595454"/>
          <c:h val="0.747642967042912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29156295820872E-2"/>
          <c:y val="4.8309178743961352E-2"/>
          <c:w val="0.66074628345413089"/>
          <c:h val="0.85022125857456221"/>
        </c:manualLayout>
      </c:layout>
      <c:scatterChart>
        <c:scatterStyle val="lineMarker"/>
        <c:varyColors val="0"/>
        <c:ser>
          <c:idx val="0"/>
          <c:order val="0"/>
          <c:tx>
            <c:v>Limit (min)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Angles!$E$3:$E$8</c:f>
              <c:numCache>
                <c:formatCode>0.00</c:formatCode>
                <c:ptCount val="6"/>
                <c:pt idx="0">
                  <c:v>1.9052558883257651</c:v>
                </c:pt>
                <c:pt idx="1">
                  <c:v>0</c:v>
                </c:pt>
                <c:pt idx="2">
                  <c:v>-1.9052558883257651</c:v>
                </c:pt>
                <c:pt idx="3">
                  <c:v>-1.9052558883257651</c:v>
                </c:pt>
                <c:pt idx="4">
                  <c:v>0</c:v>
                </c:pt>
                <c:pt idx="5">
                  <c:v>1.9052558883257651</c:v>
                </c:pt>
              </c:numCache>
            </c:numRef>
          </c:xVal>
          <c:yVal>
            <c:numRef>
              <c:f>Angles!$F$3:$F$8</c:f>
              <c:numCache>
                <c:formatCode>0.00</c:formatCode>
                <c:ptCount val="6"/>
                <c:pt idx="0">
                  <c:v>1.1000000000000001</c:v>
                </c:pt>
                <c:pt idx="1">
                  <c:v>2.2000000000000002</c:v>
                </c:pt>
                <c:pt idx="2">
                  <c:v>1.1000000000000001</c:v>
                </c:pt>
                <c:pt idx="3">
                  <c:v>-1.1000000000000001</c:v>
                </c:pt>
                <c:pt idx="4">
                  <c:v>-2.2000000000000002</c:v>
                </c:pt>
                <c:pt idx="5">
                  <c:v>-1.1000000000000001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2D-4E55-9A07-439AEDA32BC0}"/>
            </c:ext>
          </c:extLst>
        </c:ser>
        <c:ser>
          <c:idx val="1"/>
          <c:order val="1"/>
          <c:tx>
            <c:v>Limit (max)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Angles!$H$3:$H$8</c:f>
              <c:numCache>
                <c:formatCode>0.00</c:formatCode>
                <c:ptCount val="6"/>
                <c:pt idx="0">
                  <c:v>4.3301270189221928</c:v>
                </c:pt>
                <c:pt idx="1">
                  <c:v>0</c:v>
                </c:pt>
                <c:pt idx="2">
                  <c:v>-4.3301270189221928</c:v>
                </c:pt>
                <c:pt idx="3">
                  <c:v>-4.3301270189221928</c:v>
                </c:pt>
                <c:pt idx="4">
                  <c:v>0</c:v>
                </c:pt>
                <c:pt idx="5">
                  <c:v>4.3301270189221928</c:v>
                </c:pt>
              </c:numCache>
            </c:numRef>
          </c:xVal>
          <c:yVal>
            <c:numRef>
              <c:f>Angles!$I$3:$I$8</c:f>
              <c:numCache>
                <c:formatCode>0.00</c:formatCode>
                <c:ptCount val="6"/>
                <c:pt idx="0">
                  <c:v>2.5</c:v>
                </c:pt>
                <c:pt idx="1">
                  <c:v>5</c:v>
                </c:pt>
                <c:pt idx="2">
                  <c:v>2.5</c:v>
                </c:pt>
                <c:pt idx="3">
                  <c:v>-2.5</c:v>
                </c:pt>
                <c:pt idx="4">
                  <c:v>-5</c:v>
                </c:pt>
                <c:pt idx="5">
                  <c:v>-2.5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2D-4E55-9A07-439AEDA32BC0}"/>
            </c:ext>
          </c:extLst>
        </c:ser>
        <c:ser>
          <c:idx val="2"/>
          <c:order val="2"/>
          <c:tx>
            <c:v>Leg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Angles!$N$3:$N$8</c:f>
              <c:numCache>
                <c:formatCode>0.00</c:formatCode>
                <c:ptCount val="6"/>
                <c:pt idx="0">
                  <c:v>1.7320508075688772</c:v>
                </c:pt>
                <c:pt idx="1">
                  <c:v>0</c:v>
                </c:pt>
                <c:pt idx="2">
                  <c:v>-1.7320508075688772</c:v>
                </c:pt>
                <c:pt idx="3">
                  <c:v>-1.7320508075688772</c:v>
                </c:pt>
                <c:pt idx="4">
                  <c:v>0</c:v>
                </c:pt>
                <c:pt idx="5">
                  <c:v>1.7320508075688772</c:v>
                </c:pt>
              </c:numCache>
            </c:numRef>
          </c:xVal>
          <c:yVal>
            <c:numRef>
              <c:f>Angles!$O$3:$O$8</c:f>
              <c:numCache>
                <c:formatCode>0.00</c:formatCode>
                <c:ptCount val="6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-1</c:v>
                </c:pt>
                <c:pt idx="4">
                  <c:v>-2</c:v>
                </c:pt>
                <c:pt idx="5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2D-4E55-9A07-439AEDA32BC0}"/>
            </c:ext>
          </c:extLst>
        </c:ser>
        <c:ser>
          <c:idx val="3"/>
          <c:order val="3"/>
          <c:tx>
            <c:v>Global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Angles!$R$3:$R$8</c:f>
              <c:numCache>
                <c:formatCode>0.00</c:formatCode>
                <c:ptCount val="6"/>
                <c:pt idx="0">
                  <c:v>2.848076211353316</c:v>
                </c:pt>
                <c:pt idx="1">
                  <c:v>6.1257422745431001E-17</c:v>
                </c:pt>
                <c:pt idx="2">
                  <c:v>-2.598076211353316</c:v>
                </c:pt>
                <c:pt idx="3">
                  <c:v>-2.598076211353316</c:v>
                </c:pt>
                <c:pt idx="4">
                  <c:v>-1.83772268236293E-16</c:v>
                </c:pt>
                <c:pt idx="5">
                  <c:v>2.5980762113533156</c:v>
                </c:pt>
              </c:numCache>
            </c:numRef>
          </c:xVal>
          <c:yVal>
            <c:numRef>
              <c:f>Angles!$S$3:$S$8</c:f>
              <c:numCache>
                <c:formatCode>0.00</c:formatCode>
                <c:ptCount val="6"/>
                <c:pt idx="0">
                  <c:v>1.0669872981077806</c:v>
                </c:pt>
                <c:pt idx="1">
                  <c:v>3</c:v>
                </c:pt>
                <c:pt idx="2">
                  <c:v>1.5</c:v>
                </c:pt>
                <c:pt idx="3">
                  <c:v>-1.5</c:v>
                </c:pt>
                <c:pt idx="4">
                  <c:v>-3</c:v>
                </c:pt>
                <c:pt idx="5">
                  <c:v>-1.5000000000000004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E2D-4E55-9A07-439AEDA32BC0}"/>
            </c:ext>
          </c:extLst>
        </c:ser>
        <c:ser>
          <c:idx val="4"/>
          <c:order val="4"/>
          <c:tx>
            <c:v>Datum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Angles!$K$3:$K$8</c:f>
              <c:numCache>
                <c:formatCode>0.00</c:formatCode>
                <c:ptCount val="6"/>
                <c:pt idx="0">
                  <c:v>2.598076211353316</c:v>
                </c:pt>
                <c:pt idx="1">
                  <c:v>0</c:v>
                </c:pt>
                <c:pt idx="2">
                  <c:v>-2.598076211353316</c:v>
                </c:pt>
                <c:pt idx="3">
                  <c:v>-2.598076211353316</c:v>
                </c:pt>
                <c:pt idx="4">
                  <c:v>0</c:v>
                </c:pt>
                <c:pt idx="5">
                  <c:v>2.598076211353316</c:v>
                </c:pt>
              </c:numCache>
            </c:numRef>
          </c:xVal>
          <c:yVal>
            <c:numRef>
              <c:f>Angles!$L$3:$L$8</c:f>
              <c:numCache>
                <c:formatCode>0.00</c:formatCode>
                <c:ptCount val="6"/>
                <c:pt idx="0">
                  <c:v>1.5</c:v>
                </c:pt>
                <c:pt idx="1">
                  <c:v>3</c:v>
                </c:pt>
                <c:pt idx="2">
                  <c:v>1.5</c:v>
                </c:pt>
                <c:pt idx="3">
                  <c:v>-1.5</c:v>
                </c:pt>
                <c:pt idx="4">
                  <c:v>-3</c:v>
                </c:pt>
                <c:pt idx="5">
                  <c:v>-1.5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2D-4E55-9A07-439AEDA32B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5"/>
          <c:min val="-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  <c:majorUnit val="1"/>
      </c:valAx>
      <c:valAx>
        <c:axId val="258805304"/>
        <c:scaling>
          <c:orientation val="minMax"/>
          <c:max val="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F(t)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'F(t)'!$B:$B</c:f>
              <c:numCache>
                <c:formatCode>General</c:formatCode>
                <c:ptCount val="104857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'F(t)'!$A:$A</c:f>
              <c:numCache>
                <c:formatCode>0.000</c:formatCode>
                <c:ptCount val="1048576"/>
                <c:pt idx="0" formatCode="General">
                  <c:v>0</c:v>
                </c:pt>
                <c:pt idx="1">
                  <c:v>3.7613204469885664E-9</c:v>
                </c:pt>
                <c:pt idx="2">
                  <c:v>3.7369849515443568E-8</c:v>
                </c:pt>
                <c:pt idx="3">
                  <c:v>3.1525808955654123E-7</c:v>
                </c:pt>
                <c:pt idx="4">
                  <c:v>2.2651805924878739E-6</c:v>
                </c:pt>
                <c:pt idx="5">
                  <c:v>1.3906326581750079E-5</c:v>
                </c:pt>
                <c:pt idx="6">
                  <c:v>7.3187262364615767E-5</c:v>
                </c:pt>
                <c:pt idx="7">
                  <c:v>3.3134353621770333E-4</c:v>
                </c:pt>
                <c:pt idx="8">
                  <c:v>1.2951554703307835E-3</c:v>
                </c:pt>
                <c:pt idx="9">
                  <c:v>4.3876303447544385E-3</c:v>
                </c:pt>
                <c:pt idx="10">
                  <c:v>1.2934901388949791E-2</c:v>
                </c:pt>
                <c:pt idx="11">
                  <c:v>3.3326709640187822E-2</c:v>
                </c:pt>
                <c:pt idx="12">
                  <c:v>7.5391014764064485E-2</c:v>
                </c:pt>
                <c:pt idx="13">
                  <c:v>0.15048800688482272</c:v>
                </c:pt>
                <c:pt idx="14">
                  <c:v>0.26649353662113484</c:v>
                </c:pt>
                <c:pt idx="15">
                  <c:v>0.42117217199249152</c:v>
                </c:pt>
                <c:pt idx="16">
                  <c:v>0.59802135594038575</c:v>
                </c:pt>
                <c:pt idx="17">
                  <c:v>0.76873773587048555</c:v>
                </c:pt>
                <c:pt idx="18">
                  <c:v>0.90280196534137114</c:v>
                </c:pt>
                <c:pt idx="19">
                  <c:v>0.97986907763625286</c:v>
                </c:pt>
                <c:pt idx="20">
                  <c:v>1</c:v>
                </c:pt>
                <c:pt idx="21">
                  <c:v>0.97986907763625242</c:v>
                </c:pt>
                <c:pt idx="22">
                  <c:v>0.90280196534136992</c:v>
                </c:pt>
                <c:pt idx="23">
                  <c:v>0.76873773587048388</c:v>
                </c:pt>
                <c:pt idx="24">
                  <c:v>0.59802135594038386</c:v>
                </c:pt>
                <c:pt idx="25">
                  <c:v>0.42117217199248974</c:v>
                </c:pt>
                <c:pt idx="26">
                  <c:v>0.26649353662113334</c:v>
                </c:pt>
                <c:pt idx="27">
                  <c:v>0.1504880068848217</c:v>
                </c:pt>
                <c:pt idx="28">
                  <c:v>7.5391014764063888E-2</c:v>
                </c:pt>
                <c:pt idx="29">
                  <c:v>3.3326709640187496E-2</c:v>
                </c:pt>
                <c:pt idx="30">
                  <c:v>1.2934901388949619E-2</c:v>
                </c:pt>
                <c:pt idx="31">
                  <c:v>4.3876303447543726E-3</c:v>
                </c:pt>
                <c:pt idx="32">
                  <c:v>1.2951554703307616E-3</c:v>
                </c:pt>
                <c:pt idx="33">
                  <c:v>3.3134353621769563E-4</c:v>
                </c:pt>
                <c:pt idx="34">
                  <c:v>7.3187262364613815E-5</c:v>
                </c:pt>
                <c:pt idx="35">
                  <c:v>1.3906326581749635E-5</c:v>
                </c:pt>
                <c:pt idx="36">
                  <c:v>2.2651805924878014E-6</c:v>
                </c:pt>
                <c:pt idx="37">
                  <c:v>3.1525808955652779E-7</c:v>
                </c:pt>
                <c:pt idx="38">
                  <c:v>3.7369849515441841E-8</c:v>
                </c:pt>
                <c:pt idx="39">
                  <c:v>3.7613204469883662E-9</c:v>
                </c:pt>
                <c:pt idx="40">
                  <c:v>3.2051175422316529E-10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29-4985-8E35-496B21793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756680"/>
        <c:axId val="512763568"/>
      </c:scatterChart>
      <c:valAx>
        <c:axId val="51275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63568"/>
        <c:crosses val="autoZero"/>
        <c:crossBetween val="midCat"/>
      </c:valAx>
      <c:valAx>
        <c:axId val="51276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56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G(t)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'G(t)'!$B:$B</c:f>
              <c:numCache>
                <c:formatCode>General</c:formatCode>
                <c:ptCount val="104857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'G(t)'!$A:$A</c:f>
              <c:numCache>
                <c:formatCode>0.000</c:formatCode>
                <c:ptCount val="1048576"/>
                <c:pt idx="0" formatCode="General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1</c:v>
                </c:pt>
                <c:pt idx="11">
                  <c:v>0.90000000000000013</c:v>
                </c:pt>
                <c:pt idx="12">
                  <c:v>0.8</c:v>
                </c:pt>
                <c:pt idx="13">
                  <c:v>0.7</c:v>
                </c:pt>
                <c:pt idx="14">
                  <c:v>0.59999999999999987</c:v>
                </c:pt>
                <c:pt idx="15">
                  <c:v>0.49999999999999978</c:v>
                </c:pt>
                <c:pt idx="16">
                  <c:v>0.39999999999999969</c:v>
                </c:pt>
                <c:pt idx="17">
                  <c:v>0.2999999999999996</c:v>
                </c:pt>
                <c:pt idx="18">
                  <c:v>0.19999999999999951</c:v>
                </c:pt>
                <c:pt idx="19">
                  <c:v>9.9999999999999423E-2</c:v>
                </c:pt>
                <c:pt idx="20">
                  <c:v>0</c:v>
                </c:pt>
                <c:pt idx="21">
                  <c:v>-0.10000000000000053</c:v>
                </c:pt>
                <c:pt idx="22">
                  <c:v>-0.20000000000000062</c:v>
                </c:pt>
                <c:pt idx="23">
                  <c:v>-0.30000000000000071</c:v>
                </c:pt>
                <c:pt idx="24">
                  <c:v>-0.4000000000000008</c:v>
                </c:pt>
                <c:pt idx="25">
                  <c:v>-0.50000000000000089</c:v>
                </c:pt>
                <c:pt idx="26">
                  <c:v>-0.60000000000000098</c:v>
                </c:pt>
                <c:pt idx="27">
                  <c:v>-0.70000000000000107</c:v>
                </c:pt>
                <c:pt idx="28">
                  <c:v>-0.80000000000000115</c:v>
                </c:pt>
                <c:pt idx="29">
                  <c:v>-0.90000000000000124</c:v>
                </c:pt>
                <c:pt idx="30">
                  <c:v>-0.99999999999999867</c:v>
                </c:pt>
                <c:pt idx="31">
                  <c:v>-0.89999999999999858</c:v>
                </c:pt>
                <c:pt idx="32">
                  <c:v>-0.79999999999999849</c:v>
                </c:pt>
                <c:pt idx="33">
                  <c:v>-0.6999999999999984</c:v>
                </c:pt>
                <c:pt idx="34">
                  <c:v>-0.59999999999999831</c:v>
                </c:pt>
                <c:pt idx="35">
                  <c:v>-0.49999999999999822</c:v>
                </c:pt>
                <c:pt idx="36">
                  <c:v>-0.39999999999999813</c:v>
                </c:pt>
                <c:pt idx="37">
                  <c:v>-0.29999999999999805</c:v>
                </c:pt>
                <c:pt idx="38">
                  <c:v>-0.19999999999999796</c:v>
                </c:pt>
                <c:pt idx="39">
                  <c:v>-9.9999999999997868E-2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98-435E-AB7D-75BE87E60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704448"/>
        <c:axId val="592708712"/>
      </c:scatterChart>
      <c:valAx>
        <c:axId val="59270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08712"/>
        <c:crosses val="autoZero"/>
        <c:crossBetween val="midCat"/>
      </c:valAx>
      <c:valAx>
        <c:axId val="59270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70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438281893595415E-2"/>
          <c:y val="5.3767049610601955E-2"/>
          <c:w val="0.88670932556788062"/>
          <c:h val="0.88861960902428183"/>
        </c:manualLayout>
      </c:layout>
      <c:scatterChart>
        <c:scatterStyle val="lineMarker"/>
        <c:varyColors val="0"/>
        <c:ser>
          <c:idx val="0"/>
          <c:order val="0"/>
          <c:tx>
            <c:v>Foot 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step'!$A$2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xVal>
          <c:yVal>
            <c:numRef>
              <c:f>'Example step'!$B$2</c:f>
              <c:numCache>
                <c:formatCode>General</c:formatCode>
                <c:ptCount val="1"/>
                <c:pt idx="0">
                  <c:v>1.229396519077818E-2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0C-42D4-8D6D-757795408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795640"/>
        <c:axId val="602796624"/>
      </c:scatterChart>
      <c:valAx>
        <c:axId val="602795640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796624"/>
        <c:crosses val="autoZero"/>
        <c:crossBetween val="midCat"/>
      </c:valAx>
      <c:valAx>
        <c:axId val="602796624"/>
        <c:scaling>
          <c:orientation val="minMax"/>
          <c:max val="2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2795640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'Example step'!$A$1</c:f>
              <c:strCache>
                <c:ptCount val="1"/>
                <c:pt idx="0">
                  <c:v>Gx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step'!$C$2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xVal>
          <c:yVal>
            <c:numRef>
              <c:f>'Example step'!$A$2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3C-480C-B8CF-174BCBF05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785240"/>
        <c:axId val="603798032"/>
      </c:scatterChart>
      <c:valAx>
        <c:axId val="603785240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98032"/>
        <c:crosses val="autoZero"/>
        <c:crossBetween val="midCat"/>
      </c:valAx>
      <c:valAx>
        <c:axId val="603798032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8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'Example step'!$B$1</c:f>
              <c:strCache>
                <c:ptCount val="1"/>
                <c:pt idx="0">
                  <c:v>Fx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'Example step'!$C$2</c:f>
              <c:numCache>
                <c:formatCode>General</c:formatCode>
                <c:ptCount val="1"/>
                <c:pt idx="0">
                  <c:v>0.99500000000000077</c:v>
                </c:pt>
              </c:numCache>
            </c:numRef>
          </c:xVal>
          <c:yVal>
            <c:numRef>
              <c:f>'Example step'!$B$2</c:f>
              <c:numCache>
                <c:formatCode>General</c:formatCode>
                <c:ptCount val="1"/>
                <c:pt idx="0">
                  <c:v>1.229396519077818E-2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D0-4721-B29A-A3521D3E1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785240"/>
        <c:axId val="603798032"/>
      </c:scatterChart>
      <c:valAx>
        <c:axId val="603785240"/>
        <c:scaling>
          <c:orientation val="minMax"/>
          <c:max val="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98032"/>
        <c:crosses val="autoZero"/>
        <c:crossBetween val="midCat"/>
      </c:valAx>
      <c:valAx>
        <c:axId val="603798032"/>
        <c:scaling>
          <c:orientation val="minMax"/>
          <c:max val="3"/>
          <c:min val="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785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Fx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Calced'!$B:$B</c:f>
              <c:strCache>
                <c:ptCount val="81"/>
                <c:pt idx="0">
                  <c:v>Fx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8.05</c:v>
                </c:pt>
                <c:pt idx="62">
                  <c:v>8.1</c:v>
                </c:pt>
                <c:pt idx="63">
                  <c:v>8.15</c:v>
                </c:pt>
                <c:pt idx="64">
                  <c:v>8.2</c:v>
                </c:pt>
                <c:pt idx="65">
                  <c:v>8.25</c:v>
                </c:pt>
                <c:pt idx="66">
                  <c:v>8.3</c:v>
                </c:pt>
                <c:pt idx="67">
                  <c:v>8.35</c:v>
                </c:pt>
                <c:pt idx="68">
                  <c:v>8.4</c:v>
                </c:pt>
                <c:pt idx="69">
                  <c:v>8.45</c:v>
                </c:pt>
                <c:pt idx="70">
                  <c:v>8.5</c:v>
                </c:pt>
                <c:pt idx="71">
                  <c:v>8.55</c:v>
                </c:pt>
                <c:pt idx="72">
                  <c:v>8.6</c:v>
                </c:pt>
                <c:pt idx="73">
                  <c:v>8.65</c:v>
                </c:pt>
                <c:pt idx="74">
                  <c:v>8.7</c:v>
                </c:pt>
                <c:pt idx="75">
                  <c:v>8.75</c:v>
                </c:pt>
                <c:pt idx="76">
                  <c:v>8.8</c:v>
                </c:pt>
                <c:pt idx="77">
                  <c:v>8.85</c:v>
                </c:pt>
                <c:pt idx="78">
                  <c:v>8.9</c:v>
                </c:pt>
                <c:pt idx="79">
                  <c:v>8.95</c:v>
                </c:pt>
                <c:pt idx="80">
                  <c:v>9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55-4B5F-8D05-3C9756EB2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Calced'!$C:$C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AF-4D00-A3FA-4E75D6349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2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Calced'!$F:$F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Calced'!$D:$D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0.99999999999999978</c:v>
                </c:pt>
                <c:pt idx="21">
                  <c:v>0.94999999999999973</c:v>
                </c:pt>
                <c:pt idx="22">
                  <c:v>0.89999999999999969</c:v>
                </c:pt>
                <c:pt idx="23">
                  <c:v>0.84999999999999964</c:v>
                </c:pt>
                <c:pt idx="24">
                  <c:v>0.7999999999999996</c:v>
                </c:pt>
                <c:pt idx="25">
                  <c:v>0.74999999999999956</c:v>
                </c:pt>
                <c:pt idx="26">
                  <c:v>0.69999999999999951</c:v>
                </c:pt>
                <c:pt idx="27">
                  <c:v>0.64999999999999947</c:v>
                </c:pt>
                <c:pt idx="28">
                  <c:v>0.59999999999999942</c:v>
                </c:pt>
                <c:pt idx="29">
                  <c:v>0.54999999999999938</c:v>
                </c:pt>
                <c:pt idx="30">
                  <c:v>0.49999999999999933</c:v>
                </c:pt>
                <c:pt idx="31">
                  <c:v>0.44999999999999929</c:v>
                </c:pt>
                <c:pt idx="32">
                  <c:v>0.39999999999999925</c:v>
                </c:pt>
                <c:pt idx="33">
                  <c:v>0.3499999999999992</c:v>
                </c:pt>
                <c:pt idx="34">
                  <c:v>0.29999999999999916</c:v>
                </c:pt>
                <c:pt idx="35">
                  <c:v>0.24999999999999911</c:v>
                </c:pt>
                <c:pt idx="36">
                  <c:v>0.19999999999999907</c:v>
                </c:pt>
                <c:pt idx="37">
                  <c:v>0.14999999999999902</c:v>
                </c:pt>
                <c:pt idx="38">
                  <c:v>9.9999999999998979E-2</c:v>
                </c:pt>
                <c:pt idx="39">
                  <c:v>4.9999999999998934E-2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B9-4287-94EF-F3FC992A6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Calced'!$C:$C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5-4B6E-A543-E2284D0E7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Calced'!$C:$C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CC-4B02-AFD4-1028E597D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Calced'!$C:$C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E-4030-896D-C0BE54D89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Calced'!$C:$C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0A-4C3C-8CCB-02DA1752C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Calced'!$C:$C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C-4027-9C4B-2917697C2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Calced'!$C:$C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CD-441C-8460-29D0AAD1B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Calced'!$C:$C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0-48D5-A521-674F54A39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Calced'!$C:$C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F1-4693-83EB-8BBD0879A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Leg 1 Gx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'Gate Calced'!$C:$C</c:f>
              <c:strCache>
                <c:ptCount val="81"/>
                <c:pt idx="0">
                  <c:v>t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</c:v>
                </c:pt>
                <c:pt idx="23">
                  <c:v>2.3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4.1</c:v>
                </c:pt>
                <c:pt idx="42">
                  <c:v>4.2</c:v>
                </c:pt>
                <c:pt idx="43">
                  <c:v>4.3</c:v>
                </c:pt>
                <c:pt idx="44">
                  <c:v>4.4</c:v>
                </c:pt>
                <c:pt idx="45">
                  <c:v>4.5</c:v>
                </c:pt>
                <c:pt idx="46">
                  <c:v>4.6</c:v>
                </c:pt>
                <c:pt idx="47">
                  <c:v>4.7</c:v>
                </c:pt>
                <c:pt idx="48">
                  <c:v>4.8</c:v>
                </c:pt>
                <c:pt idx="49">
                  <c:v>4.9</c:v>
                </c:pt>
                <c:pt idx="50">
                  <c:v>5</c:v>
                </c:pt>
                <c:pt idx="51">
                  <c:v>5.1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</c:strCache>
            </c:strRef>
          </c:xVal>
          <c:yVal>
            <c:numRef>
              <c:f>'Gate Calced'!$A:$A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8.8817841970012523E-16</c:v>
                </c:pt>
                <c:pt idx="41">
                  <c:v>5.0000000000000711E-2</c:v>
                </c:pt>
                <c:pt idx="42">
                  <c:v>0.10000000000000053</c:v>
                </c:pt>
                <c:pt idx="43">
                  <c:v>0.15000000000000036</c:v>
                </c:pt>
                <c:pt idx="44">
                  <c:v>0.20000000000000018</c:v>
                </c:pt>
                <c:pt idx="45">
                  <c:v>0.25</c:v>
                </c:pt>
                <c:pt idx="46">
                  <c:v>0.29999999999999982</c:v>
                </c:pt>
                <c:pt idx="47">
                  <c:v>0.34999999999999964</c:v>
                </c:pt>
                <c:pt idx="48">
                  <c:v>0.39999999999999947</c:v>
                </c:pt>
                <c:pt idx="49">
                  <c:v>0.44999999999999929</c:v>
                </c:pt>
                <c:pt idx="50">
                  <c:v>0.49999999999999911</c:v>
                </c:pt>
                <c:pt idx="51">
                  <c:v>0.54999999999999893</c:v>
                </c:pt>
                <c:pt idx="52">
                  <c:v>0.59999999999999876</c:v>
                </c:pt>
                <c:pt idx="53">
                  <c:v>0.64999999999999858</c:v>
                </c:pt>
                <c:pt idx="54">
                  <c:v>0.6999999999999984</c:v>
                </c:pt>
                <c:pt idx="55">
                  <c:v>0.74999999999999822</c:v>
                </c:pt>
                <c:pt idx="56">
                  <c:v>0.79999999999999805</c:v>
                </c:pt>
                <c:pt idx="57">
                  <c:v>0.84999999999999787</c:v>
                </c:pt>
                <c:pt idx="58">
                  <c:v>0.89999999999999769</c:v>
                </c:pt>
                <c:pt idx="59">
                  <c:v>0.94999999999999751</c:v>
                </c:pt>
                <c:pt idx="60">
                  <c:v>0.99999999999999734</c:v>
                </c:pt>
                <c:pt idx="61">
                  <c:v>0.95000000000000284</c:v>
                </c:pt>
                <c:pt idx="62">
                  <c:v>0.90000000000000302</c:v>
                </c:pt>
                <c:pt idx="63">
                  <c:v>0.8500000000000032</c:v>
                </c:pt>
                <c:pt idx="64">
                  <c:v>0.80000000000000338</c:v>
                </c:pt>
                <c:pt idx="65">
                  <c:v>0.75000000000000355</c:v>
                </c:pt>
                <c:pt idx="66">
                  <c:v>0.70000000000000373</c:v>
                </c:pt>
                <c:pt idx="67">
                  <c:v>0.65000000000000391</c:v>
                </c:pt>
                <c:pt idx="68">
                  <c:v>0.60000000000000409</c:v>
                </c:pt>
                <c:pt idx="69">
                  <c:v>0.55000000000000426</c:v>
                </c:pt>
                <c:pt idx="70">
                  <c:v>0.50000000000000444</c:v>
                </c:pt>
                <c:pt idx="71">
                  <c:v>0.45000000000000462</c:v>
                </c:pt>
                <c:pt idx="72">
                  <c:v>0.4000000000000048</c:v>
                </c:pt>
                <c:pt idx="73">
                  <c:v>0.35000000000000497</c:v>
                </c:pt>
                <c:pt idx="74">
                  <c:v>0.30000000000000515</c:v>
                </c:pt>
                <c:pt idx="75">
                  <c:v>0.25000000000000533</c:v>
                </c:pt>
                <c:pt idx="76">
                  <c:v>0.20000000000000551</c:v>
                </c:pt>
                <c:pt idx="77">
                  <c:v>0.15000000000000568</c:v>
                </c:pt>
                <c:pt idx="78">
                  <c:v>0.10000000000000586</c:v>
                </c:pt>
                <c:pt idx="79">
                  <c:v>5.000000000000604E-2</c:v>
                </c:pt>
                <c:pt idx="80">
                  <c:v>6.2172489379008766E-15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2F-436A-B36D-E545AB207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31320"/>
        <c:axId val="592930992"/>
      </c:scatterChart>
      <c:valAx>
        <c:axId val="592931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0992"/>
        <c:crosses val="autoZero"/>
        <c:crossBetween val="midCat"/>
      </c:valAx>
      <c:valAx>
        <c:axId val="59293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31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E$15" inc="50" max="200" page="10" val="100"/>
</file>

<file path=xl/ctrlProps/ctrlProp2.xml><?xml version="1.0" encoding="utf-8"?>
<formControlPr xmlns="http://schemas.microsoft.com/office/spreadsheetml/2009/9/main" objectType="Spin" dx="26" max="30000" page="10" val="0"/>
</file>

<file path=xl/ctrlProps/ctrlProp3.xml><?xml version="1.0" encoding="utf-8"?>
<formControlPr xmlns="http://schemas.microsoft.com/office/spreadsheetml/2009/9/main" objectType="Spin" dx="26" max="30000" page="10" val="0"/>
</file>

<file path=xl/ctrlProps/ctrlProp4.xml><?xml version="1.0" encoding="utf-8"?>
<formControlPr xmlns="http://schemas.microsoft.com/office/spreadsheetml/2009/9/main" objectType="Spin" dx="26" fmlaLink="$E$16" inc="50" max="200" page="10" val="100"/>
</file>

<file path=xl/ctrlProps/ctrlProp5.xml><?xml version="1.0" encoding="utf-8"?>
<formControlPr xmlns="http://schemas.microsoft.com/office/spreadsheetml/2009/9/main" objectType="Spin" dx="26" fmlaLink="$E$17" inc="50" max="200" page="10" val="10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0.xml"/><Relationship Id="rId7" Type="http://schemas.openxmlformats.org/officeDocument/2006/relationships/chart" Target="../charts/chart14.xml"/><Relationship Id="rId12" Type="http://schemas.openxmlformats.org/officeDocument/2006/relationships/chart" Target="../charts/chart19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11" Type="http://schemas.openxmlformats.org/officeDocument/2006/relationships/chart" Target="../charts/chart18.xml"/><Relationship Id="rId5" Type="http://schemas.openxmlformats.org/officeDocument/2006/relationships/chart" Target="../charts/chart12.xml"/><Relationship Id="rId10" Type="http://schemas.openxmlformats.org/officeDocument/2006/relationships/chart" Target="../charts/chart17.xml"/><Relationship Id="rId4" Type="http://schemas.openxmlformats.org/officeDocument/2006/relationships/chart" Target="../charts/chart11.xml"/><Relationship Id="rId9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106232</xdr:colOff>
      <xdr:row>7</xdr:row>
      <xdr:rowOff>81131</xdr:rowOff>
    </xdr:from>
    <xdr:to>
      <xdr:col>16</xdr:col>
      <xdr:colOff>26895</xdr:colOff>
      <xdr:row>31</xdr:row>
      <xdr:rowOff>44823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14</xdr:row>
          <xdr:rowOff>7620</xdr:rowOff>
        </xdr:from>
        <xdr:to>
          <xdr:col>4</xdr:col>
          <xdr:colOff>190500</xdr:colOff>
          <xdr:row>14</xdr:row>
          <xdr:rowOff>175260</xdr:rowOff>
        </xdr:to>
        <xdr:sp macro="" textlink="">
          <xdr:nvSpPr>
            <xdr:cNvPr id="3078" name="Spinner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7620</xdr:rowOff>
        </xdr:from>
        <xdr:to>
          <xdr:col>4</xdr:col>
          <xdr:colOff>190500</xdr:colOff>
          <xdr:row>15</xdr:row>
          <xdr:rowOff>175260</xdr:rowOff>
        </xdr:to>
        <xdr:sp macro="" textlink="">
          <xdr:nvSpPr>
            <xdr:cNvPr id="3079" name="Spinner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16</xdr:row>
          <xdr:rowOff>7620</xdr:rowOff>
        </xdr:from>
        <xdr:to>
          <xdr:col>4</xdr:col>
          <xdr:colOff>190500</xdr:colOff>
          <xdr:row>16</xdr:row>
          <xdr:rowOff>175260</xdr:rowOff>
        </xdr:to>
        <xdr:sp macro="" textlink="">
          <xdr:nvSpPr>
            <xdr:cNvPr id="3080" name="Spinner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7620</xdr:rowOff>
        </xdr:from>
        <xdr:to>
          <xdr:col>4</xdr:col>
          <xdr:colOff>190500</xdr:colOff>
          <xdr:row>15</xdr:row>
          <xdr:rowOff>175260</xdr:rowOff>
        </xdr:to>
        <xdr:sp macro="" textlink="">
          <xdr:nvSpPr>
            <xdr:cNvPr id="3081" name="Spinner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16</xdr:row>
          <xdr:rowOff>7620</xdr:rowOff>
        </xdr:from>
        <xdr:to>
          <xdr:col>4</xdr:col>
          <xdr:colOff>190500</xdr:colOff>
          <xdr:row>16</xdr:row>
          <xdr:rowOff>175260</xdr:rowOff>
        </xdr:to>
        <xdr:sp macro="" textlink="">
          <xdr:nvSpPr>
            <xdr:cNvPr id="3082" name="Spinner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381000</xdr:colOff>
      <xdr:row>31</xdr:row>
      <xdr:rowOff>7620</xdr:rowOff>
    </xdr:from>
    <xdr:to>
      <xdr:col>16</xdr:col>
      <xdr:colOff>232</xdr:colOff>
      <xdr:row>45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5920" y="5676900"/>
          <a:ext cx="3299692" cy="2705100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</xdr:row>
      <xdr:rowOff>106680</xdr:rowOff>
    </xdr:from>
    <xdr:to>
      <xdr:col>12</xdr:col>
      <xdr:colOff>304800</xdr:colOff>
      <xdr:row>26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320040</xdr:colOff>
      <xdr:row>5</xdr:row>
      <xdr:rowOff>140970</xdr:rowOff>
    </xdr:from>
    <xdr:to>
      <xdr:col>15</xdr:col>
      <xdr:colOff>15240</xdr:colOff>
      <xdr:row>20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320040</xdr:colOff>
      <xdr:row>5</xdr:row>
      <xdr:rowOff>140970</xdr:rowOff>
    </xdr:from>
    <xdr:to>
      <xdr:col>15</xdr:col>
      <xdr:colOff>15240</xdr:colOff>
      <xdr:row>20</xdr:row>
      <xdr:rowOff>140970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182880</xdr:colOff>
      <xdr:row>4</xdr:row>
      <xdr:rowOff>45720</xdr:rowOff>
    </xdr:from>
    <xdr:to>
      <xdr:col>8</xdr:col>
      <xdr:colOff>441960</xdr:colOff>
      <xdr:row>21</xdr:row>
      <xdr:rowOff>0</xdr:rowOff>
    </xdr:to>
    <xdr:graphicFrame macro="">
      <xdr:nvGraphicFramePr>
        <xdr:cNvPr id="2" name="Foo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</xdr:colOff>
      <xdr:row>4</xdr:row>
      <xdr:rowOff>11430</xdr:rowOff>
    </xdr:from>
    <xdr:to>
      <xdr:col>13</xdr:col>
      <xdr:colOff>586740</xdr:colOff>
      <xdr:row>12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15240</xdr:colOff>
      <xdr:row>13</xdr:row>
      <xdr:rowOff>7620</xdr:rowOff>
    </xdr:from>
    <xdr:to>
      <xdr:col>13</xdr:col>
      <xdr:colOff>586740</xdr:colOff>
      <xdr:row>20</xdr:row>
      <xdr:rowOff>179070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3</xdr:col>
      <xdr:colOff>236220</xdr:colOff>
      <xdr:row>20</xdr:row>
      <xdr:rowOff>156210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3</xdr:col>
      <xdr:colOff>236220</xdr:colOff>
      <xdr:row>9</xdr:row>
      <xdr:rowOff>156210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7</xdr:col>
      <xdr:colOff>236220</xdr:colOff>
      <xdr:row>9</xdr:row>
      <xdr:rowOff>156210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11</xdr:col>
      <xdr:colOff>236220</xdr:colOff>
      <xdr:row>9</xdr:row>
      <xdr:rowOff>156210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15</xdr:col>
      <xdr:colOff>236220</xdr:colOff>
      <xdr:row>9</xdr:row>
      <xdr:rowOff>156210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19</xdr:col>
      <xdr:colOff>236220</xdr:colOff>
      <xdr:row>9</xdr:row>
      <xdr:rowOff>156210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23</xdr:col>
      <xdr:colOff>236220</xdr:colOff>
      <xdr:row>9</xdr:row>
      <xdr:rowOff>156210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11</xdr:row>
      <xdr:rowOff>0</xdr:rowOff>
    </xdr:from>
    <xdr:to>
      <xdr:col>7</xdr:col>
      <xdr:colOff>236220</xdr:colOff>
      <xdr:row>20</xdr:row>
      <xdr:rowOff>156210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11</xdr:col>
      <xdr:colOff>236220</xdr:colOff>
      <xdr:row>20</xdr:row>
      <xdr:rowOff>156210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11</xdr:row>
      <xdr:rowOff>0</xdr:rowOff>
    </xdr:from>
    <xdr:to>
      <xdr:col>15</xdr:col>
      <xdr:colOff>236220</xdr:colOff>
      <xdr:row>20</xdr:row>
      <xdr:rowOff>156210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11</xdr:row>
      <xdr:rowOff>0</xdr:rowOff>
    </xdr:from>
    <xdr:to>
      <xdr:col>19</xdr:col>
      <xdr:colOff>236220</xdr:colOff>
      <xdr:row>20</xdr:row>
      <xdr:rowOff>156210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11</xdr:row>
      <xdr:rowOff>0</xdr:rowOff>
    </xdr:from>
    <xdr:to>
      <xdr:col>23</xdr:col>
      <xdr:colOff>236220</xdr:colOff>
      <xdr:row>20</xdr:row>
      <xdr:rowOff>156210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17"/>
  <sheetViews>
    <sheetView zoomScale="85" zoomScaleNormal="85" workbookViewId="0">
      <selection activeCell="R9" sqref="R9"/>
    </sheetView>
  </sheetViews>
  <sheetFormatPr defaultRowHeight="14.4" x14ac:dyDescent="0.3"/>
  <cols>
    <col min="1" max="1" width="12.6640625" bestFit="1" customWidth="1"/>
    <col min="2" max="6" width="11.44140625" style="3" customWidth="1"/>
  </cols>
  <sheetData>
    <row r="1" spans="1:24" x14ac:dyDescent="0.3">
      <c r="A1" s="5"/>
      <c r="B1" s="47" t="s">
        <v>23</v>
      </c>
      <c r="C1" s="48"/>
      <c r="D1" s="4" t="s">
        <v>21</v>
      </c>
      <c r="E1" s="47" t="s">
        <v>26</v>
      </c>
      <c r="F1" s="48"/>
      <c r="I1" s="46" t="s">
        <v>69</v>
      </c>
      <c r="J1" s="46"/>
      <c r="K1" s="46" t="s">
        <v>70</v>
      </c>
      <c r="L1" s="46"/>
      <c r="M1" s="46" t="s">
        <v>71</v>
      </c>
      <c r="N1" s="46"/>
      <c r="O1" s="46" t="s">
        <v>72</v>
      </c>
      <c r="P1" s="46"/>
      <c r="Q1" s="46" t="s">
        <v>73</v>
      </c>
      <c r="R1" s="46"/>
      <c r="S1" s="46" t="s">
        <v>74</v>
      </c>
      <c r="T1" s="46"/>
      <c r="U1" s="46" t="s">
        <v>76</v>
      </c>
      <c r="V1" s="46"/>
      <c r="W1" s="46" t="s">
        <v>77</v>
      </c>
      <c r="X1" s="46"/>
    </row>
    <row r="2" spans="1:24" x14ac:dyDescent="0.3">
      <c r="A2" s="6"/>
      <c r="B2" s="19" t="s">
        <v>2</v>
      </c>
      <c r="C2" s="20" t="s">
        <v>3</v>
      </c>
      <c r="D2" s="21" t="s">
        <v>22</v>
      </c>
      <c r="E2" s="19" t="s">
        <v>55</v>
      </c>
      <c r="F2" s="20" t="s">
        <v>56</v>
      </c>
      <c r="I2" s="1" t="s">
        <v>2</v>
      </c>
      <c r="J2" s="1" t="s">
        <v>3</v>
      </c>
      <c r="K2" s="1" t="s">
        <v>2</v>
      </c>
      <c r="L2" s="1" t="s">
        <v>3</v>
      </c>
      <c r="M2" s="1" t="s">
        <v>2</v>
      </c>
      <c r="N2" s="1" t="s">
        <v>3</v>
      </c>
      <c r="O2" s="1" t="s">
        <v>2</v>
      </c>
      <c r="P2" s="1" t="s">
        <v>3</v>
      </c>
      <c r="Q2" s="1" t="s">
        <v>2</v>
      </c>
      <c r="R2" s="1" t="s">
        <v>3</v>
      </c>
      <c r="S2" s="1" t="s">
        <v>2</v>
      </c>
      <c r="T2" s="1" t="s">
        <v>3</v>
      </c>
      <c r="U2" s="1" t="s">
        <v>2</v>
      </c>
      <c r="V2" s="1" t="s">
        <v>3</v>
      </c>
      <c r="W2" s="1" t="s">
        <v>2</v>
      </c>
      <c r="X2" s="1" t="s">
        <v>3</v>
      </c>
    </row>
    <row r="3" spans="1:24" x14ac:dyDescent="0.3">
      <c r="A3" s="7" t="s">
        <v>10</v>
      </c>
      <c r="B3" s="10">
        <f>B10*SQRT(3)/2</f>
        <v>2.598076211353316</v>
      </c>
      <c r="C3" s="11">
        <f>B10*1/2</f>
        <v>1.5</v>
      </c>
      <c r="D3" s="16">
        <f>2*ASIN('Foot Vectors'!$D$17/(2*SQRT(('Foot Vectors'!B3^2)+'Foot Vectors'!C3^2)))</f>
        <v>0</v>
      </c>
      <c r="E3" s="10">
        <f>'Foot Vectors'!$D$15+('Foot Vectors'!B3*COS('Foot Vectors'!D3)-'Foot Vectors'!C3*SIN('Foot Vectors'!$D$3))</f>
        <v>2.598076211353316</v>
      </c>
      <c r="F3" s="11">
        <f>'Foot Vectors'!$D$16+('Foot Vectors'!B3*SIN('Foot Vectors'!D3)+'Foot Vectors'!C3*COS('Foot Vectors'!$D$3))</f>
        <v>1.5</v>
      </c>
      <c r="H3" s="1" t="s">
        <v>48</v>
      </c>
      <c r="I3" s="43">
        <f>B3</f>
        <v>2.598076211353316</v>
      </c>
      <c r="J3" s="43">
        <f>C3</f>
        <v>1.5</v>
      </c>
      <c r="K3" s="43">
        <f>B4</f>
        <v>0</v>
      </c>
      <c r="L3" s="43">
        <f>C4</f>
        <v>3</v>
      </c>
      <c r="M3" s="43">
        <f>B5</f>
        <v>-2.598076211353316</v>
      </c>
      <c r="N3" s="43">
        <f>C5</f>
        <v>1.5</v>
      </c>
      <c r="O3" s="43">
        <f>B6</f>
        <v>-2.598076211353316</v>
      </c>
      <c r="P3" s="43">
        <f>C6</f>
        <v>-1.5</v>
      </c>
      <c r="Q3" s="43">
        <f>B7</f>
        <v>0</v>
      </c>
      <c r="R3" s="43">
        <f>C7</f>
        <v>-3</v>
      </c>
      <c r="S3" s="43">
        <f>B8</f>
        <v>2.598076211353316</v>
      </c>
      <c r="T3" s="43">
        <f>C8</f>
        <v>-1.5</v>
      </c>
      <c r="U3">
        <v>0</v>
      </c>
      <c r="V3">
        <v>0</v>
      </c>
      <c r="W3">
        <v>0</v>
      </c>
      <c r="X3">
        <v>0</v>
      </c>
    </row>
    <row r="4" spans="1:24" x14ac:dyDescent="0.3">
      <c r="A4" s="8" t="s">
        <v>11</v>
      </c>
      <c r="B4" s="12">
        <v>0</v>
      </c>
      <c r="C4" s="13">
        <f>B10</f>
        <v>3</v>
      </c>
      <c r="D4" s="17">
        <f>2*ASIN('Foot Vectors'!$D$17/(2*SQRT(('Foot Vectors'!B4^2)+'Foot Vectors'!C4^2)))</f>
        <v>0</v>
      </c>
      <c r="E4" s="12">
        <f>'Foot Vectors'!$D$15+('Foot Vectors'!B4*COS('Foot Vectors'!D4)-'Foot Vectors'!C4*SIN('Foot Vectors'!$D$3))</f>
        <v>0</v>
      </c>
      <c r="F4" s="13">
        <f>'Foot Vectors'!$D$16+('Foot Vectors'!B4*SIN('Foot Vectors'!D4)+'Foot Vectors'!C4*COS('Foot Vectors'!$D$3))</f>
        <v>3</v>
      </c>
      <c r="H4" s="1" t="s">
        <v>75</v>
      </c>
      <c r="I4" s="43">
        <f>E3</f>
        <v>2.598076211353316</v>
      </c>
      <c r="J4" s="43">
        <f>F3</f>
        <v>1.5</v>
      </c>
      <c r="K4" s="43">
        <f>E4</f>
        <v>0</v>
      </c>
      <c r="L4" s="43">
        <f>F4</f>
        <v>3</v>
      </c>
      <c r="M4" s="43">
        <f>E5</f>
        <v>-2.598076211353316</v>
      </c>
      <c r="N4" s="43">
        <f>F5</f>
        <v>1.5</v>
      </c>
      <c r="O4" s="43">
        <f>E6</f>
        <v>-2.598076211353316</v>
      </c>
      <c r="P4" s="43">
        <f>F6</f>
        <v>-1.5</v>
      </c>
      <c r="Q4" s="43">
        <f>E7</f>
        <v>0</v>
      </c>
      <c r="R4" s="43">
        <f>F7</f>
        <v>-3</v>
      </c>
      <c r="S4" s="43">
        <f>E8</f>
        <v>2.598076211353316</v>
      </c>
      <c r="T4" s="43">
        <f>F8</f>
        <v>-1.5</v>
      </c>
      <c r="U4">
        <f>D15</f>
        <v>0</v>
      </c>
      <c r="V4">
        <f>D16</f>
        <v>0</v>
      </c>
      <c r="W4">
        <f>-D17</f>
        <v>0</v>
      </c>
      <c r="X4">
        <v>0</v>
      </c>
    </row>
    <row r="5" spans="1:24" x14ac:dyDescent="0.3">
      <c r="A5" s="7" t="s">
        <v>12</v>
      </c>
      <c r="B5" s="10">
        <f>-B10*SQRT(3)/2</f>
        <v>-2.598076211353316</v>
      </c>
      <c r="C5" s="11">
        <f>B10*1/2</f>
        <v>1.5</v>
      </c>
      <c r="D5" s="16">
        <f>2*ASIN('Foot Vectors'!$D$17/(2*SQRT(('Foot Vectors'!B5^2)+'Foot Vectors'!C5^2)))</f>
        <v>0</v>
      </c>
      <c r="E5" s="10">
        <f>'Foot Vectors'!$D$15+('Foot Vectors'!B5*COS('Foot Vectors'!D5)-'Foot Vectors'!C5*SIN('Foot Vectors'!$D$3))</f>
        <v>-2.598076211353316</v>
      </c>
      <c r="F5" s="11">
        <f>'Foot Vectors'!$D$16+('Foot Vectors'!B5*SIN('Foot Vectors'!D5)+'Foot Vectors'!C5*COS('Foot Vectors'!$D$3))</f>
        <v>1.5</v>
      </c>
    </row>
    <row r="6" spans="1:24" x14ac:dyDescent="0.3">
      <c r="A6" s="8" t="s">
        <v>13</v>
      </c>
      <c r="B6" s="12">
        <f>-B10*SQRT(3)/2</f>
        <v>-2.598076211353316</v>
      </c>
      <c r="C6" s="13">
        <f>-B10*1/2</f>
        <v>-1.5</v>
      </c>
      <c r="D6" s="17">
        <f>2*ASIN('Foot Vectors'!$D$17/(2*SQRT(('Foot Vectors'!B6^2)+'Foot Vectors'!C6^2)))</f>
        <v>0</v>
      </c>
      <c r="E6" s="12">
        <f>'Foot Vectors'!$D$15+('Foot Vectors'!B6*COS('Foot Vectors'!D6)-'Foot Vectors'!C6*SIN('Foot Vectors'!$D$3))</f>
        <v>-2.598076211353316</v>
      </c>
      <c r="F6" s="13">
        <f>'Foot Vectors'!$D$16+('Foot Vectors'!B6*SIN('Foot Vectors'!D6)+'Foot Vectors'!C6*COS('Foot Vectors'!$D$3))</f>
        <v>-1.5</v>
      </c>
    </row>
    <row r="7" spans="1:24" x14ac:dyDescent="0.3">
      <c r="A7" s="7" t="s">
        <v>14</v>
      </c>
      <c r="B7" s="10">
        <v>0</v>
      </c>
      <c r="C7" s="11">
        <f>-B10</f>
        <v>-3</v>
      </c>
      <c r="D7" s="16">
        <f>2*ASIN('Foot Vectors'!$D$17/(2*SQRT(('Foot Vectors'!B7^2)+'Foot Vectors'!C7^2)))</f>
        <v>0</v>
      </c>
      <c r="E7" s="10">
        <f>'Foot Vectors'!$D$15+('Foot Vectors'!B7*COS('Foot Vectors'!D7)-'Foot Vectors'!C7*SIN('Foot Vectors'!$D$3))</f>
        <v>0</v>
      </c>
      <c r="F7" s="11">
        <f>'Foot Vectors'!$D$16+('Foot Vectors'!B7*SIN('Foot Vectors'!D7)+'Foot Vectors'!C7*COS('Foot Vectors'!$D$3))</f>
        <v>-3</v>
      </c>
    </row>
    <row r="8" spans="1:24" x14ac:dyDescent="0.3">
      <c r="A8" s="9" t="s">
        <v>15</v>
      </c>
      <c r="B8" s="23">
        <f>B10*SQRT(3)/2</f>
        <v>2.598076211353316</v>
      </c>
      <c r="C8" s="15">
        <f>-B10*1/2</f>
        <v>-1.5</v>
      </c>
      <c r="D8" s="18">
        <f>2*ASIN('Foot Vectors'!$D$17/(2*SQRT(('Foot Vectors'!B8^2)+'Foot Vectors'!C8^2)))</f>
        <v>0</v>
      </c>
      <c r="E8" s="14">
        <f>'Foot Vectors'!$D$15+('Foot Vectors'!B8*COS('Foot Vectors'!D8)-'Foot Vectors'!C8*SIN('Foot Vectors'!$D$3))</f>
        <v>2.598076211353316</v>
      </c>
      <c r="F8" s="15">
        <f>'Foot Vectors'!$D$16+('Foot Vectors'!B8*SIN('Foot Vectors'!D8)+'Foot Vectors'!C8*COS('Foot Vectors'!$D$3))</f>
        <v>-1.5</v>
      </c>
    </row>
    <row r="10" spans="1:24" x14ac:dyDescent="0.3">
      <c r="A10" s="22" t="s">
        <v>24</v>
      </c>
      <c r="B10" s="3">
        <v>3</v>
      </c>
      <c r="D10"/>
      <c r="E10"/>
      <c r="F10"/>
    </row>
    <row r="11" spans="1:24" x14ac:dyDescent="0.3">
      <c r="A11" t="s">
        <v>25</v>
      </c>
      <c r="B11" s="3">
        <v>2</v>
      </c>
    </row>
    <row r="13" spans="1:24" x14ac:dyDescent="0.3">
      <c r="A13" s="50" t="s">
        <v>31</v>
      </c>
      <c r="B13" s="50"/>
      <c r="C13" s="50"/>
      <c r="D13" s="50"/>
    </row>
    <row r="14" spans="1:24" x14ac:dyDescent="0.3">
      <c r="A14" s="24"/>
      <c r="B14" s="25" t="s">
        <v>30</v>
      </c>
      <c r="C14" s="24" t="s">
        <v>29</v>
      </c>
      <c r="D14" s="25" t="s">
        <v>28</v>
      </c>
      <c r="E14" s="29"/>
    </row>
    <row r="15" spans="1:24" x14ac:dyDescent="0.3">
      <c r="A15" s="49" t="s">
        <v>16</v>
      </c>
      <c r="B15" s="26" t="s">
        <v>18</v>
      </c>
      <c r="C15" s="27" t="s">
        <v>27</v>
      </c>
      <c r="D15" s="26">
        <f>E15/100-1</f>
        <v>0</v>
      </c>
      <c r="E15" s="28">
        <v>100</v>
      </c>
    </row>
    <row r="16" spans="1:24" x14ac:dyDescent="0.3">
      <c r="A16" s="49"/>
      <c r="B16" s="26" t="s">
        <v>19</v>
      </c>
      <c r="C16" s="27" t="s">
        <v>27</v>
      </c>
      <c r="D16" s="26">
        <f t="shared" ref="D16:D17" si="0">E16/100-1</f>
        <v>0</v>
      </c>
      <c r="E16" s="28">
        <v>100</v>
      </c>
    </row>
    <row r="17" spans="1:5" x14ac:dyDescent="0.3">
      <c r="A17" s="24" t="s">
        <v>17</v>
      </c>
      <c r="B17" s="26" t="s">
        <v>20</v>
      </c>
      <c r="C17" s="27" t="s">
        <v>27</v>
      </c>
      <c r="D17" s="26">
        <f t="shared" si="0"/>
        <v>0</v>
      </c>
      <c r="E17" s="28">
        <v>100</v>
      </c>
    </row>
  </sheetData>
  <mergeCells count="12">
    <mergeCell ref="U1:V1"/>
    <mergeCell ref="W1:X1"/>
    <mergeCell ref="E1:F1"/>
    <mergeCell ref="B1:C1"/>
    <mergeCell ref="A15:A16"/>
    <mergeCell ref="A13:D13"/>
    <mergeCell ref="S1:T1"/>
    <mergeCell ref="Q1:R1"/>
    <mergeCell ref="O1:P1"/>
    <mergeCell ref="M1:N1"/>
    <mergeCell ref="K1:L1"/>
    <mergeCell ref="I1:J1"/>
  </mergeCell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Spinner 6">
              <controlPr defaultSize="0" autoPict="0">
                <anchor moveWithCells="1" sizeWithCells="1">
                  <from>
                    <xdr:col>4</xdr:col>
                    <xdr:colOff>7620</xdr:colOff>
                    <xdr:row>14</xdr:row>
                    <xdr:rowOff>7620</xdr:rowOff>
                  </from>
                  <to>
                    <xdr:col>4</xdr:col>
                    <xdr:colOff>190500</xdr:colOff>
                    <xdr:row>14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Spinner 7">
              <controlPr defaultSize="0" autoPict="0">
                <anchor moveWithCells="1" sizeWithCells="1">
                  <from>
                    <xdr:col>4</xdr:col>
                    <xdr:colOff>7620</xdr:colOff>
                    <xdr:row>15</xdr:row>
                    <xdr:rowOff>7620</xdr:rowOff>
                  </from>
                  <to>
                    <xdr:col>4</xdr:col>
                    <xdr:colOff>190500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Spinner 8">
              <controlPr defaultSize="0" autoPict="0">
                <anchor moveWithCells="1" sizeWithCells="1">
                  <from>
                    <xdr:col>4</xdr:col>
                    <xdr:colOff>7620</xdr:colOff>
                    <xdr:row>16</xdr:row>
                    <xdr:rowOff>7620</xdr:rowOff>
                  </from>
                  <to>
                    <xdr:col>4</xdr:col>
                    <xdr:colOff>190500</xdr:colOff>
                    <xdr:row>16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Spinner 9">
              <controlPr defaultSize="0" autoPict="0">
                <anchor moveWithCells="1" sizeWithCells="1">
                  <from>
                    <xdr:col>4</xdr:col>
                    <xdr:colOff>7620</xdr:colOff>
                    <xdr:row>15</xdr:row>
                    <xdr:rowOff>7620</xdr:rowOff>
                  </from>
                  <to>
                    <xdr:col>4</xdr:col>
                    <xdr:colOff>190500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Spinner 10">
              <controlPr defaultSize="0" autoPict="0">
                <anchor moveWithCells="1" sizeWithCells="1">
                  <from>
                    <xdr:col>4</xdr:col>
                    <xdr:colOff>7620</xdr:colOff>
                    <xdr:row>16</xdr:row>
                    <xdr:rowOff>7620</xdr:rowOff>
                  </from>
                  <to>
                    <xdr:col>4</xdr:col>
                    <xdr:colOff>190500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C43"/>
  <sheetViews>
    <sheetView zoomScaleNormal="100" workbookViewId="0">
      <selection activeCell="AE18" sqref="AE18"/>
    </sheetView>
  </sheetViews>
  <sheetFormatPr defaultRowHeight="14.4" x14ac:dyDescent="0.3"/>
  <cols>
    <col min="1" max="1" width="6.109375" customWidth="1"/>
    <col min="2" max="22" width="2.77734375" customWidth="1"/>
    <col min="23" max="23" width="5.6640625" style="44" customWidth="1"/>
    <col min="24" max="24" width="5.5546875" style="44" customWidth="1"/>
    <col min="25" max="25" width="11.5546875" style="44" customWidth="1"/>
    <col min="26" max="26" width="2.77734375" style="44" customWidth="1"/>
  </cols>
  <sheetData>
    <row r="2" spans="1:29" x14ac:dyDescent="0.3">
      <c r="C2" s="2" t="s">
        <v>9</v>
      </c>
      <c r="D2" s="30"/>
      <c r="E2" s="30"/>
      <c r="F2" t="s">
        <v>43</v>
      </c>
    </row>
    <row r="3" spans="1:29" x14ac:dyDescent="0.3">
      <c r="C3" s="2" t="s">
        <v>39</v>
      </c>
      <c r="D3" s="30"/>
      <c r="E3" s="30"/>
      <c r="F3" t="s">
        <v>42</v>
      </c>
    </row>
    <row r="4" spans="1:29" x14ac:dyDescent="0.3">
      <c r="C4" s="2" t="s">
        <v>40</v>
      </c>
      <c r="D4" s="30"/>
      <c r="E4" s="30"/>
      <c r="F4" t="s">
        <v>41</v>
      </c>
    </row>
    <row r="6" spans="1:29" x14ac:dyDescent="0.3">
      <c r="E6" s="31"/>
      <c r="F6" t="s">
        <v>50</v>
      </c>
    </row>
    <row r="7" spans="1:29" x14ac:dyDescent="0.3">
      <c r="E7" s="34"/>
      <c r="F7" t="s">
        <v>49</v>
      </c>
    </row>
    <row r="9" spans="1:29" x14ac:dyDescent="0.3">
      <c r="A9" s="50" t="s">
        <v>32</v>
      </c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9" x14ac:dyDescent="0.3">
      <c r="B10">
        <v>1</v>
      </c>
      <c r="C10">
        <v>2</v>
      </c>
      <c r="D10">
        <v>3</v>
      </c>
      <c r="E10">
        <v>4</v>
      </c>
      <c r="F10">
        <v>5</v>
      </c>
      <c r="G10">
        <v>6</v>
      </c>
      <c r="H10">
        <v>7</v>
      </c>
      <c r="I10">
        <v>8</v>
      </c>
      <c r="W10" s="44" t="s">
        <v>85</v>
      </c>
      <c r="X10" s="44">
        <v>8</v>
      </c>
      <c r="Y10" s="45" t="s">
        <v>88</v>
      </c>
      <c r="AA10" t="s">
        <v>89</v>
      </c>
      <c r="AB10" s="44" t="s">
        <v>90</v>
      </c>
      <c r="AC10" s="44" t="s">
        <v>91</v>
      </c>
    </row>
    <row r="11" spans="1:29" x14ac:dyDescent="0.3">
      <c r="A11" t="s">
        <v>33</v>
      </c>
      <c r="B11" s="35"/>
      <c r="C11" s="35" t="s">
        <v>51</v>
      </c>
      <c r="D11" s="35"/>
      <c r="E11" s="35" t="s">
        <v>52</v>
      </c>
      <c r="F11" s="36"/>
      <c r="G11" s="36" t="s">
        <v>53</v>
      </c>
      <c r="H11" s="36"/>
      <c r="I11" s="36" t="s">
        <v>54</v>
      </c>
      <c r="R11" s="36"/>
      <c r="S11" s="36"/>
      <c r="T11" s="36"/>
      <c r="U11" s="36"/>
      <c r="V11" s="36"/>
      <c r="W11" s="44" t="s">
        <v>86</v>
      </c>
      <c r="X11" s="44">
        <v>2</v>
      </c>
      <c r="Y11" s="44">
        <v>6</v>
      </c>
      <c r="AA11">
        <f>Y11</f>
        <v>6</v>
      </c>
      <c r="AB11">
        <f>IF((AA11+$X$12)&gt;$X$10,AA11+$X$12-$X$10,AA11+$X$12)</f>
        <v>8</v>
      </c>
      <c r="AC11">
        <f>IF((AB11+SUM($X$13:$X$14))&gt;$X$10,AB11+SUM($X$13:$X$14)-$X$10,AB11+SUM($X$13:$X$14))</f>
        <v>4</v>
      </c>
    </row>
    <row r="12" spans="1:29" x14ac:dyDescent="0.3">
      <c r="A12" t="s">
        <v>34</v>
      </c>
      <c r="B12" s="36"/>
      <c r="C12" s="36" t="s">
        <v>53</v>
      </c>
      <c r="D12" s="36"/>
      <c r="E12" s="36" t="s">
        <v>54</v>
      </c>
      <c r="F12" s="35"/>
      <c r="G12" s="35" t="s">
        <v>51</v>
      </c>
      <c r="H12" s="35"/>
      <c r="I12" s="35" t="s">
        <v>52</v>
      </c>
      <c r="R12" s="36"/>
      <c r="S12" s="36"/>
      <c r="T12" s="36"/>
      <c r="U12" s="36"/>
      <c r="V12" s="36"/>
      <c r="W12" s="44" t="s">
        <v>54</v>
      </c>
      <c r="X12" s="44">
        <v>2</v>
      </c>
      <c r="Y12" s="44">
        <v>2</v>
      </c>
      <c r="AA12">
        <f t="shared" ref="AA12:AA16" si="0">Y12</f>
        <v>2</v>
      </c>
      <c r="AB12">
        <f t="shared" ref="AB12:AB16" si="1">IF((AA12+$X$12)&gt;$X$10,AA12+$X$12-$X$10,AA12+$X$12)</f>
        <v>4</v>
      </c>
      <c r="AC12">
        <f t="shared" ref="AC12:AC16" si="2">IF((AB12+SUM($X$13:$X$14))&gt;$X$10,AB12+SUM($X$13:$X$14)-$X$10,AB12+SUM($X$13:$X$14))</f>
        <v>8</v>
      </c>
    </row>
    <row r="13" spans="1:29" x14ac:dyDescent="0.3">
      <c r="A13" t="s">
        <v>35</v>
      </c>
      <c r="B13" s="35"/>
      <c r="C13" s="35" t="s">
        <v>51</v>
      </c>
      <c r="D13" s="35"/>
      <c r="E13" s="35" t="s">
        <v>52</v>
      </c>
      <c r="F13" s="36"/>
      <c r="G13" s="36" t="s">
        <v>53</v>
      </c>
      <c r="H13" s="36"/>
      <c r="I13" s="36" t="s">
        <v>54</v>
      </c>
      <c r="R13" s="36"/>
      <c r="S13" s="36"/>
      <c r="T13" s="36"/>
      <c r="U13" s="36"/>
      <c r="V13" s="36"/>
      <c r="W13" s="44" t="s">
        <v>87</v>
      </c>
      <c r="X13" s="44">
        <v>2</v>
      </c>
      <c r="Y13" s="44">
        <v>6</v>
      </c>
      <c r="AA13">
        <f t="shared" si="0"/>
        <v>6</v>
      </c>
      <c r="AB13">
        <f t="shared" si="1"/>
        <v>8</v>
      </c>
      <c r="AC13">
        <f t="shared" si="2"/>
        <v>4</v>
      </c>
    </row>
    <row r="14" spans="1:29" x14ac:dyDescent="0.3">
      <c r="A14" t="s">
        <v>36</v>
      </c>
      <c r="B14" s="36"/>
      <c r="C14" s="36" t="s">
        <v>53</v>
      </c>
      <c r="D14" s="36"/>
      <c r="E14" s="36" t="s">
        <v>54</v>
      </c>
      <c r="F14" s="35"/>
      <c r="G14" s="35" t="s">
        <v>51</v>
      </c>
      <c r="H14" s="35"/>
      <c r="I14" s="35" t="s">
        <v>52</v>
      </c>
      <c r="R14" s="36"/>
      <c r="S14" s="36"/>
      <c r="T14" s="36"/>
      <c r="U14" s="36"/>
      <c r="V14" s="36"/>
      <c r="W14" s="44" t="s">
        <v>52</v>
      </c>
      <c r="X14" s="44">
        <v>2</v>
      </c>
      <c r="Y14" s="44">
        <v>2</v>
      </c>
      <c r="AA14">
        <f t="shared" si="0"/>
        <v>2</v>
      </c>
      <c r="AB14">
        <f t="shared" si="1"/>
        <v>4</v>
      </c>
      <c r="AC14">
        <f t="shared" si="2"/>
        <v>8</v>
      </c>
    </row>
    <row r="15" spans="1:29" x14ac:dyDescent="0.3">
      <c r="A15" t="s">
        <v>37</v>
      </c>
      <c r="B15" s="35"/>
      <c r="C15" s="35" t="s">
        <v>51</v>
      </c>
      <c r="D15" s="35"/>
      <c r="E15" s="35" t="s">
        <v>52</v>
      </c>
      <c r="F15" s="36"/>
      <c r="G15" s="36" t="s">
        <v>53</v>
      </c>
      <c r="H15" s="36"/>
      <c r="I15" s="36" t="s">
        <v>54</v>
      </c>
      <c r="R15" s="36"/>
      <c r="S15" s="36"/>
      <c r="T15" s="36"/>
      <c r="U15" s="36"/>
      <c r="V15" s="36"/>
      <c r="Y15" s="44">
        <v>6</v>
      </c>
      <c r="AA15">
        <f t="shared" si="0"/>
        <v>6</v>
      </c>
      <c r="AB15">
        <f t="shared" si="1"/>
        <v>8</v>
      </c>
      <c r="AC15">
        <f t="shared" si="2"/>
        <v>4</v>
      </c>
    </row>
    <row r="16" spans="1:29" x14ac:dyDescent="0.3">
      <c r="A16" t="s">
        <v>38</v>
      </c>
      <c r="B16" s="36"/>
      <c r="C16" s="36" t="s">
        <v>53</v>
      </c>
      <c r="D16" s="36"/>
      <c r="E16" s="36" t="s">
        <v>54</v>
      </c>
      <c r="F16" s="35"/>
      <c r="G16" s="35" t="s">
        <v>51</v>
      </c>
      <c r="H16" s="35"/>
      <c r="I16" s="35" t="s">
        <v>52</v>
      </c>
      <c r="R16" s="36"/>
      <c r="S16" s="36"/>
      <c r="T16" s="36"/>
      <c r="U16" s="36"/>
      <c r="V16" s="36"/>
      <c r="Y16" s="44">
        <v>2</v>
      </c>
      <c r="AA16">
        <f t="shared" si="0"/>
        <v>2</v>
      </c>
      <c r="AB16">
        <f t="shared" si="1"/>
        <v>4</v>
      </c>
      <c r="AC16">
        <f t="shared" si="2"/>
        <v>8</v>
      </c>
    </row>
    <row r="17" spans="1:29" x14ac:dyDescent="0.3">
      <c r="C17" s="32"/>
      <c r="D17" s="32"/>
      <c r="E17" s="32"/>
      <c r="F17" s="32"/>
      <c r="G17" s="32"/>
      <c r="H17" s="32"/>
    </row>
    <row r="18" spans="1:29" x14ac:dyDescent="0.3">
      <c r="A18" s="50" t="s">
        <v>44</v>
      </c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spans="1:29" x14ac:dyDescent="0.3">
      <c r="B19">
        <v>1</v>
      </c>
      <c r="C19">
        <v>2</v>
      </c>
      <c r="D19">
        <v>3</v>
      </c>
      <c r="E19">
        <v>4</v>
      </c>
      <c r="F19">
        <v>5</v>
      </c>
      <c r="G19">
        <v>6</v>
      </c>
      <c r="W19" s="44" t="s">
        <v>85</v>
      </c>
      <c r="X19" s="44">
        <v>6</v>
      </c>
      <c r="Y19" s="45" t="s">
        <v>88</v>
      </c>
      <c r="AA19" t="s">
        <v>89</v>
      </c>
      <c r="AB19" s="44" t="s">
        <v>90</v>
      </c>
      <c r="AC19" s="44" t="s">
        <v>91</v>
      </c>
    </row>
    <row r="20" spans="1:29" x14ac:dyDescent="0.3">
      <c r="A20" t="s">
        <v>33</v>
      </c>
      <c r="B20" s="37"/>
      <c r="C20" s="37" t="s">
        <v>53</v>
      </c>
      <c r="D20" s="37"/>
      <c r="E20" s="37" t="s">
        <v>54</v>
      </c>
      <c r="F20" s="35" t="s">
        <v>51</v>
      </c>
      <c r="G20" s="35" t="s">
        <v>52</v>
      </c>
      <c r="T20" s="36"/>
      <c r="U20" s="36"/>
      <c r="V20" s="36"/>
      <c r="W20" s="44" t="s">
        <v>86</v>
      </c>
      <c r="X20" s="44">
        <v>2</v>
      </c>
      <c r="Y20" s="44">
        <v>2</v>
      </c>
      <c r="AA20">
        <f>Y20</f>
        <v>2</v>
      </c>
      <c r="AB20">
        <f>IF((AA20+$X$21)&gt;$X$19,AA20+$X$21-$X$19,AA20+$X$21)</f>
        <v>4</v>
      </c>
      <c r="AC20">
        <f>IF((AB20+SUM($X$22:$X$23))&gt;$X$19,AB20+SUM($X$22:$X$23)-$X$19,AB20+SUM($X$22:$X$23))</f>
        <v>6</v>
      </c>
    </row>
    <row r="21" spans="1:29" x14ac:dyDescent="0.3">
      <c r="A21" t="s">
        <v>34</v>
      </c>
      <c r="B21" s="36" t="s">
        <v>54</v>
      </c>
      <c r="C21" s="35" t="s">
        <v>51</v>
      </c>
      <c r="D21" s="35" t="s">
        <v>52</v>
      </c>
      <c r="E21" s="37"/>
      <c r="F21" s="37" t="s">
        <v>53</v>
      </c>
      <c r="G21" s="37"/>
      <c r="T21" s="36"/>
      <c r="U21" s="36"/>
      <c r="V21" s="36"/>
      <c r="W21" s="44" t="s">
        <v>54</v>
      </c>
      <c r="X21" s="44">
        <v>2</v>
      </c>
      <c r="Y21" s="44">
        <v>5</v>
      </c>
      <c r="AA21">
        <f t="shared" ref="AA21:AA25" si="3">Y21</f>
        <v>5</v>
      </c>
      <c r="AB21">
        <f t="shared" ref="AB21:AB25" si="4">IF((AA21+$X$21)&gt;$X$19,AA21+$X$21-$X$19,AA21+$X$21)</f>
        <v>1</v>
      </c>
      <c r="AC21">
        <f t="shared" ref="AC21:AC25" si="5">IF((AB21+SUM($X$22:$X$23))&gt;$X$19,AB21+SUM($X$22:$X$23)-$X$19,AB21+SUM($X$22:$X$23))</f>
        <v>3</v>
      </c>
    </row>
    <row r="22" spans="1:29" x14ac:dyDescent="0.3">
      <c r="A22" t="s">
        <v>35</v>
      </c>
      <c r="B22" s="37"/>
      <c r="C22" s="37" t="s">
        <v>53</v>
      </c>
      <c r="D22" s="37"/>
      <c r="E22" s="37" t="s">
        <v>54</v>
      </c>
      <c r="F22" s="35" t="s">
        <v>51</v>
      </c>
      <c r="G22" s="35" t="s">
        <v>52</v>
      </c>
      <c r="P22" s="37"/>
      <c r="Q22" s="37"/>
      <c r="R22" s="37"/>
      <c r="S22" s="37"/>
      <c r="T22" s="37"/>
      <c r="U22" s="37"/>
      <c r="V22" s="36"/>
      <c r="W22" s="44" t="s">
        <v>87</v>
      </c>
      <c r="X22" s="44">
        <v>1</v>
      </c>
      <c r="Y22" s="44">
        <v>2</v>
      </c>
      <c r="AA22">
        <f t="shared" si="3"/>
        <v>2</v>
      </c>
      <c r="AB22">
        <f t="shared" si="4"/>
        <v>4</v>
      </c>
      <c r="AC22">
        <f t="shared" si="5"/>
        <v>6</v>
      </c>
    </row>
    <row r="23" spans="1:29" x14ac:dyDescent="0.3">
      <c r="A23" t="s">
        <v>36</v>
      </c>
      <c r="B23" s="36" t="s">
        <v>54</v>
      </c>
      <c r="C23" s="35" t="s">
        <v>51</v>
      </c>
      <c r="D23" s="35" t="s">
        <v>52</v>
      </c>
      <c r="E23" s="37"/>
      <c r="F23" s="37" t="s">
        <v>53</v>
      </c>
      <c r="G23" s="37"/>
      <c r="P23" s="37"/>
      <c r="Q23" s="37"/>
      <c r="R23" s="37"/>
      <c r="S23" s="37"/>
      <c r="T23" s="37"/>
      <c r="U23" s="37"/>
      <c r="V23" s="36"/>
      <c r="W23" s="44" t="s">
        <v>52</v>
      </c>
      <c r="X23" s="44">
        <v>1</v>
      </c>
      <c r="Y23" s="44">
        <v>5</v>
      </c>
      <c r="AA23">
        <f t="shared" si="3"/>
        <v>5</v>
      </c>
      <c r="AB23">
        <f t="shared" si="4"/>
        <v>1</v>
      </c>
      <c r="AC23">
        <f t="shared" si="5"/>
        <v>3</v>
      </c>
    </row>
    <row r="24" spans="1:29" x14ac:dyDescent="0.3">
      <c r="A24" t="s">
        <v>37</v>
      </c>
      <c r="B24" s="37"/>
      <c r="C24" s="37" t="s">
        <v>53</v>
      </c>
      <c r="D24" s="37"/>
      <c r="E24" s="37" t="s">
        <v>54</v>
      </c>
      <c r="F24" s="35" t="s">
        <v>51</v>
      </c>
      <c r="G24" s="35" t="s">
        <v>52</v>
      </c>
      <c r="P24" s="37"/>
      <c r="Q24" s="37"/>
      <c r="R24" s="37"/>
      <c r="S24" s="37"/>
      <c r="T24" s="37"/>
      <c r="U24" s="37"/>
      <c r="V24" s="36"/>
      <c r="Y24" s="44">
        <v>2</v>
      </c>
      <c r="AA24">
        <f t="shared" si="3"/>
        <v>2</v>
      </c>
      <c r="AB24">
        <f t="shared" si="4"/>
        <v>4</v>
      </c>
      <c r="AC24">
        <f t="shared" si="5"/>
        <v>6</v>
      </c>
    </row>
    <row r="25" spans="1:29" x14ac:dyDescent="0.3">
      <c r="A25" t="s">
        <v>38</v>
      </c>
      <c r="B25" s="36" t="s">
        <v>54</v>
      </c>
      <c r="C25" s="35" t="s">
        <v>51</v>
      </c>
      <c r="D25" s="35" t="s">
        <v>52</v>
      </c>
      <c r="E25" s="37"/>
      <c r="F25" s="37" t="s">
        <v>53</v>
      </c>
      <c r="G25" s="37"/>
      <c r="P25" s="37"/>
      <c r="Q25" s="37"/>
      <c r="R25" s="37"/>
      <c r="S25" s="37"/>
      <c r="T25" s="37"/>
      <c r="U25" s="37"/>
      <c r="V25" s="36"/>
      <c r="Y25" s="44">
        <v>5</v>
      </c>
      <c r="AA25">
        <f t="shared" si="3"/>
        <v>5</v>
      </c>
      <c r="AB25">
        <f t="shared" si="4"/>
        <v>1</v>
      </c>
      <c r="AC25">
        <f t="shared" si="5"/>
        <v>3</v>
      </c>
    </row>
    <row r="27" spans="1:29" x14ac:dyDescent="0.3">
      <c r="A27" s="50" t="s">
        <v>45</v>
      </c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spans="1:29" x14ac:dyDescent="0.3">
      <c r="B28">
        <v>1</v>
      </c>
      <c r="C28">
        <v>2</v>
      </c>
      <c r="D28">
        <v>3</v>
      </c>
      <c r="E28">
        <v>4</v>
      </c>
      <c r="F28">
        <v>5</v>
      </c>
      <c r="G28">
        <v>6</v>
      </c>
      <c r="H28">
        <v>7</v>
      </c>
      <c r="I28">
        <v>8</v>
      </c>
      <c r="J28">
        <v>9</v>
      </c>
      <c r="K28">
        <v>10</v>
      </c>
      <c r="L28">
        <v>11</v>
      </c>
      <c r="M28">
        <v>12</v>
      </c>
      <c r="W28" s="44" t="s">
        <v>85</v>
      </c>
      <c r="X28" s="44">
        <v>12</v>
      </c>
      <c r="Y28" s="45" t="s">
        <v>88</v>
      </c>
    </row>
    <row r="29" spans="1:29" x14ac:dyDescent="0.3">
      <c r="A29" t="s">
        <v>33</v>
      </c>
      <c r="B29" s="35"/>
      <c r="C29" s="35" t="s">
        <v>51</v>
      </c>
      <c r="D29" s="35"/>
      <c r="E29" s="35" t="s">
        <v>52</v>
      </c>
      <c r="F29" s="36"/>
      <c r="G29" s="36"/>
      <c r="H29" s="36"/>
      <c r="I29" s="36" t="s">
        <v>53</v>
      </c>
      <c r="J29" s="36"/>
      <c r="K29" s="36"/>
      <c r="L29" s="36"/>
      <c r="M29" s="36" t="s">
        <v>54</v>
      </c>
      <c r="W29" s="44" t="s">
        <v>86</v>
      </c>
      <c r="X29" s="44">
        <v>4</v>
      </c>
      <c r="Y29" s="44">
        <v>8</v>
      </c>
    </row>
    <row r="30" spans="1:29" x14ac:dyDescent="0.3">
      <c r="A30" t="s">
        <v>34</v>
      </c>
      <c r="B30" s="36"/>
      <c r="C30" s="36"/>
      <c r="D30" s="36"/>
      <c r="E30" s="36" t="s">
        <v>54</v>
      </c>
      <c r="F30" s="35"/>
      <c r="G30" s="35" t="s">
        <v>51</v>
      </c>
      <c r="H30" s="35"/>
      <c r="I30" s="35" t="s">
        <v>52</v>
      </c>
      <c r="J30" s="36"/>
      <c r="K30" s="36"/>
      <c r="L30" s="36"/>
      <c r="M30" s="36" t="s">
        <v>53</v>
      </c>
      <c r="W30" s="44" t="s">
        <v>54</v>
      </c>
      <c r="X30" s="44">
        <v>4</v>
      </c>
      <c r="Y30" s="44">
        <v>12</v>
      </c>
    </row>
    <row r="31" spans="1:29" x14ac:dyDescent="0.3">
      <c r="A31" t="s">
        <v>35</v>
      </c>
      <c r="B31" s="36"/>
      <c r="C31" s="36"/>
      <c r="D31" s="36"/>
      <c r="E31" s="36" t="s">
        <v>53</v>
      </c>
      <c r="F31" s="36"/>
      <c r="G31" s="36"/>
      <c r="H31" s="36"/>
      <c r="I31" s="36" t="s">
        <v>54</v>
      </c>
      <c r="J31" s="35"/>
      <c r="K31" s="35" t="s">
        <v>51</v>
      </c>
      <c r="L31" s="35"/>
      <c r="M31" s="35" t="s">
        <v>52</v>
      </c>
      <c r="W31" s="44" t="s">
        <v>87</v>
      </c>
      <c r="X31" s="44">
        <v>2</v>
      </c>
      <c r="Y31" s="44">
        <v>4</v>
      </c>
    </row>
    <row r="32" spans="1:29" x14ac:dyDescent="0.3">
      <c r="A32" t="s">
        <v>36</v>
      </c>
      <c r="B32" s="36"/>
      <c r="C32" s="36" t="s">
        <v>54</v>
      </c>
      <c r="D32" s="35"/>
      <c r="E32" s="35" t="s">
        <v>51</v>
      </c>
      <c r="F32" s="35"/>
      <c r="G32" s="35" t="s">
        <v>52</v>
      </c>
      <c r="H32" s="36"/>
      <c r="I32" s="36"/>
      <c r="J32" s="36"/>
      <c r="K32" s="36" t="s">
        <v>53</v>
      </c>
      <c r="L32" s="36"/>
      <c r="M32" s="36"/>
      <c r="W32" s="44" t="s">
        <v>52</v>
      </c>
      <c r="X32" s="44">
        <v>2</v>
      </c>
      <c r="Y32" s="44">
        <v>10</v>
      </c>
    </row>
    <row r="33" spans="1:26" x14ac:dyDescent="0.3">
      <c r="A33" t="s">
        <v>37</v>
      </c>
      <c r="B33" s="35"/>
      <c r="C33" s="35" t="s">
        <v>51</v>
      </c>
      <c r="D33" s="36"/>
      <c r="E33" s="36"/>
      <c r="F33" s="36"/>
      <c r="G33" s="36" t="s">
        <v>53</v>
      </c>
      <c r="H33" s="36"/>
      <c r="I33" s="36"/>
      <c r="J33" s="36"/>
      <c r="K33" s="36" t="s">
        <v>54</v>
      </c>
      <c r="L33" s="35"/>
      <c r="M33" s="35" t="s">
        <v>51</v>
      </c>
      <c r="Y33" s="44">
        <v>6</v>
      </c>
    </row>
    <row r="34" spans="1:26" x14ac:dyDescent="0.3">
      <c r="A34" t="s">
        <v>38</v>
      </c>
      <c r="B34" s="36"/>
      <c r="C34" s="36" t="s">
        <v>53</v>
      </c>
      <c r="D34" s="36"/>
      <c r="E34" s="36"/>
      <c r="F34" s="36"/>
      <c r="G34" s="36" t="s">
        <v>54</v>
      </c>
      <c r="H34" s="35"/>
      <c r="I34" s="35" t="s">
        <v>51</v>
      </c>
      <c r="J34" s="35"/>
      <c r="K34" s="35" t="s">
        <v>52</v>
      </c>
      <c r="L34" s="36"/>
      <c r="M34" s="36"/>
      <c r="Y34" s="44">
        <v>2</v>
      </c>
    </row>
    <row r="36" spans="1:26" x14ac:dyDescent="0.3">
      <c r="A36" s="50" t="s">
        <v>46</v>
      </c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spans="1:26" x14ac:dyDescent="0.3">
      <c r="B37">
        <v>1</v>
      </c>
      <c r="C37">
        <v>2</v>
      </c>
      <c r="D37">
        <v>3</v>
      </c>
      <c r="E37">
        <v>4</v>
      </c>
      <c r="F37">
        <v>5</v>
      </c>
      <c r="G37">
        <v>6</v>
      </c>
      <c r="H37">
        <v>7</v>
      </c>
      <c r="I37">
        <v>8</v>
      </c>
      <c r="J37">
        <v>9</v>
      </c>
      <c r="K37">
        <v>10</v>
      </c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44" t="s">
        <v>85</v>
      </c>
      <c r="X37" s="44">
        <v>6</v>
      </c>
      <c r="Y37" s="45" t="s">
        <v>88</v>
      </c>
      <c r="Z37" s="45"/>
    </row>
    <row r="38" spans="1:26" x14ac:dyDescent="0.3">
      <c r="A38" t="s">
        <v>33</v>
      </c>
      <c r="B38" s="35"/>
      <c r="C38" s="35" t="s">
        <v>51</v>
      </c>
      <c r="D38" s="35"/>
      <c r="E38" s="35" t="s">
        <v>52</v>
      </c>
      <c r="F38" s="36"/>
      <c r="G38" s="36"/>
      <c r="H38" s="36" t="s">
        <v>53</v>
      </c>
      <c r="I38" s="36"/>
      <c r="J38" s="36"/>
      <c r="K38" s="36" t="s">
        <v>54</v>
      </c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44" t="s">
        <v>86</v>
      </c>
      <c r="X38" s="44">
        <v>3</v>
      </c>
      <c r="Y38" s="45">
        <v>7</v>
      </c>
      <c r="Z38" s="45"/>
    </row>
    <row r="39" spans="1:26" x14ac:dyDescent="0.3">
      <c r="A39" t="s">
        <v>34</v>
      </c>
      <c r="B39" s="36"/>
      <c r="C39" s="36"/>
      <c r="D39" s="36" t="s">
        <v>54</v>
      </c>
      <c r="E39" s="35"/>
      <c r="F39" s="35" t="s">
        <v>51</v>
      </c>
      <c r="G39" s="35"/>
      <c r="H39" s="35" t="s">
        <v>52</v>
      </c>
      <c r="I39" s="36"/>
      <c r="J39" s="36"/>
      <c r="K39" s="36" t="s">
        <v>53</v>
      </c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44" t="s">
        <v>54</v>
      </c>
      <c r="X39" s="44">
        <v>3</v>
      </c>
      <c r="Y39" s="45">
        <v>10</v>
      </c>
      <c r="Z39" s="45"/>
    </row>
    <row r="40" spans="1:26" x14ac:dyDescent="0.3">
      <c r="A40" t="s">
        <v>35</v>
      </c>
      <c r="B40" s="36"/>
      <c r="C40" s="36"/>
      <c r="D40" s="36" t="s">
        <v>53</v>
      </c>
      <c r="E40" s="36"/>
      <c r="F40" s="36"/>
      <c r="G40" s="36" t="s">
        <v>54</v>
      </c>
      <c r="H40" s="35"/>
      <c r="I40" s="35" t="s">
        <v>51</v>
      </c>
      <c r="J40" s="35"/>
      <c r="K40" s="35" t="s">
        <v>52</v>
      </c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44" t="s">
        <v>87</v>
      </c>
      <c r="X40" s="44">
        <v>2</v>
      </c>
      <c r="Y40" s="45">
        <v>3</v>
      </c>
      <c r="Z40" s="45"/>
    </row>
    <row r="41" spans="1:26" x14ac:dyDescent="0.3">
      <c r="A41" t="s">
        <v>36</v>
      </c>
      <c r="B41" s="36" t="s">
        <v>54</v>
      </c>
      <c r="C41" s="35"/>
      <c r="D41" s="35" t="s">
        <v>51</v>
      </c>
      <c r="E41" s="35"/>
      <c r="F41" s="35" t="s">
        <v>52</v>
      </c>
      <c r="G41" s="36"/>
      <c r="H41" s="36"/>
      <c r="I41" s="36" t="s">
        <v>53</v>
      </c>
      <c r="J41" s="36"/>
      <c r="K41" s="36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44" t="s">
        <v>52</v>
      </c>
      <c r="X41" s="44">
        <v>2</v>
      </c>
      <c r="Y41" s="45">
        <v>8</v>
      </c>
      <c r="Z41" s="45"/>
    </row>
    <row r="42" spans="1:26" x14ac:dyDescent="0.3">
      <c r="A42" t="s">
        <v>37</v>
      </c>
      <c r="B42" s="35"/>
      <c r="C42" s="35" t="s">
        <v>52</v>
      </c>
      <c r="D42" s="36"/>
      <c r="E42" s="36"/>
      <c r="F42" s="36" t="s">
        <v>53</v>
      </c>
      <c r="G42" s="36"/>
      <c r="H42" s="36"/>
      <c r="I42" s="36" t="s">
        <v>54</v>
      </c>
      <c r="J42" s="35"/>
      <c r="K42" s="35" t="s">
        <v>51</v>
      </c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45"/>
      <c r="X42" s="45"/>
      <c r="Y42" s="45">
        <v>5</v>
      </c>
      <c r="Z42" s="45"/>
    </row>
    <row r="43" spans="1:26" x14ac:dyDescent="0.3">
      <c r="A43" t="s">
        <v>38</v>
      </c>
      <c r="B43" s="36"/>
      <c r="C43" s="36" t="s">
        <v>53</v>
      </c>
      <c r="D43" s="36"/>
      <c r="E43" s="36"/>
      <c r="F43" s="36" t="s">
        <v>54</v>
      </c>
      <c r="G43" s="35"/>
      <c r="H43" s="35" t="s">
        <v>51</v>
      </c>
      <c r="I43" s="35"/>
      <c r="J43" s="35" t="s">
        <v>52</v>
      </c>
      <c r="K43" s="36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45"/>
      <c r="X43" s="45"/>
      <c r="Y43" s="45">
        <v>2</v>
      </c>
      <c r="Z43" s="45"/>
    </row>
  </sheetData>
  <mergeCells count="4">
    <mergeCell ref="A18:Z18"/>
    <mergeCell ref="A9:Z9"/>
    <mergeCell ref="A27:Z27"/>
    <mergeCell ref="A36:Z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7"/>
  <sheetViews>
    <sheetView workbookViewId="0">
      <selection activeCell="G18" sqref="G18"/>
    </sheetView>
  </sheetViews>
  <sheetFormatPr defaultRowHeight="14.4" x14ac:dyDescent="0.3"/>
  <sheetData>
    <row r="1" spans="1:4" x14ac:dyDescent="0.3">
      <c r="A1" t="s">
        <v>84</v>
      </c>
      <c r="B1" t="s">
        <v>81</v>
      </c>
      <c r="C1" t="s">
        <v>80</v>
      </c>
      <c r="D1" t="s">
        <v>79</v>
      </c>
    </row>
    <row r="2" spans="1:4" x14ac:dyDescent="0.3">
      <c r="A2">
        <v>1</v>
      </c>
      <c r="B2">
        <v>-1.0000000000041087E-2</v>
      </c>
      <c r="C2">
        <v>4.1312674709989882E-10</v>
      </c>
      <c r="D2">
        <v>3.9899999999999589</v>
      </c>
    </row>
    <row r="3" spans="1:4" x14ac:dyDescent="0.3">
      <c r="A3">
        <v>2</v>
      </c>
    </row>
    <row r="4" spans="1:4" x14ac:dyDescent="0.3">
      <c r="A4">
        <v>3</v>
      </c>
    </row>
    <row r="5" spans="1:4" x14ac:dyDescent="0.3">
      <c r="A5">
        <v>4</v>
      </c>
    </row>
    <row r="6" spans="1:4" x14ac:dyDescent="0.3">
      <c r="A6">
        <v>5</v>
      </c>
    </row>
    <row r="7" spans="1:4" x14ac:dyDescent="0.3">
      <c r="A7">
        <v>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6"/>
  <sheetViews>
    <sheetView workbookViewId="0">
      <selection activeCell="P10" sqref="P10"/>
    </sheetView>
  </sheetViews>
  <sheetFormatPr defaultRowHeight="14.4" x14ac:dyDescent="0.3"/>
  <cols>
    <col min="1" max="1" width="12.6640625" bestFit="1" customWidth="1"/>
    <col min="2" max="26" width="7.6640625" customWidth="1"/>
  </cols>
  <sheetData>
    <row r="1" spans="1:26" x14ac:dyDescent="0.3">
      <c r="B1" s="46" t="s">
        <v>60</v>
      </c>
      <c r="C1" s="46"/>
      <c r="D1" s="46"/>
      <c r="E1" s="46" t="s">
        <v>64</v>
      </c>
      <c r="F1" s="46"/>
      <c r="G1" s="46"/>
      <c r="H1" s="46" t="s">
        <v>65</v>
      </c>
      <c r="I1" s="46"/>
      <c r="J1" s="46"/>
      <c r="K1" s="46" t="s">
        <v>68</v>
      </c>
      <c r="L1" s="46"/>
      <c r="M1" s="46"/>
      <c r="N1" s="46" t="s">
        <v>63</v>
      </c>
      <c r="O1" s="46"/>
      <c r="P1" s="46"/>
      <c r="Q1" s="46" t="s">
        <v>61</v>
      </c>
      <c r="R1" s="46"/>
      <c r="S1" s="46"/>
      <c r="T1" s="46"/>
      <c r="U1" s="46" t="s">
        <v>6</v>
      </c>
      <c r="V1" s="46"/>
      <c r="W1" s="46"/>
      <c r="X1" s="46" t="s">
        <v>5</v>
      </c>
      <c r="Y1" s="46"/>
      <c r="Z1" s="46"/>
    </row>
    <row r="2" spans="1:26" x14ac:dyDescent="0.3">
      <c r="B2" s="1" t="s">
        <v>57</v>
      </c>
      <c r="C2" s="1" t="s">
        <v>58</v>
      </c>
      <c r="D2" s="1" t="s">
        <v>59</v>
      </c>
      <c r="E2" s="1" t="s">
        <v>57</v>
      </c>
      <c r="F2" s="1" t="s">
        <v>58</v>
      </c>
      <c r="G2" s="1" t="s">
        <v>59</v>
      </c>
      <c r="H2" s="1" t="s">
        <v>57</v>
      </c>
      <c r="I2" s="1" t="s">
        <v>58</v>
      </c>
      <c r="J2" s="1" t="s">
        <v>59</v>
      </c>
      <c r="K2" s="1" t="s">
        <v>57</v>
      </c>
      <c r="L2" s="1" t="s">
        <v>58</v>
      </c>
      <c r="M2" s="1" t="s">
        <v>59</v>
      </c>
      <c r="N2" s="1" t="s">
        <v>57</v>
      </c>
      <c r="O2" s="1" t="s">
        <v>58</v>
      </c>
      <c r="P2" s="1" t="s">
        <v>59</v>
      </c>
      <c r="Q2" s="1" t="s">
        <v>62</v>
      </c>
      <c r="R2" s="1" t="s">
        <v>57</v>
      </c>
      <c r="S2" s="1" t="s">
        <v>58</v>
      </c>
      <c r="T2" s="1" t="s">
        <v>59</v>
      </c>
      <c r="U2" s="1" t="s">
        <v>0</v>
      </c>
      <c r="V2" s="1" t="s">
        <v>7</v>
      </c>
      <c r="W2" s="1" t="s">
        <v>8</v>
      </c>
      <c r="X2" s="1" t="s">
        <v>0</v>
      </c>
      <c r="Y2" s="1" t="s">
        <v>7</v>
      </c>
      <c r="Z2" s="1" t="s">
        <v>8</v>
      </c>
    </row>
    <row r="3" spans="1:26" x14ac:dyDescent="0.3">
      <c r="A3" s="1" t="s">
        <v>9</v>
      </c>
      <c r="B3" s="39">
        <v>1</v>
      </c>
      <c r="C3" s="39">
        <v>-0.5</v>
      </c>
      <c r="D3" s="39">
        <v>-2</v>
      </c>
      <c r="E3" s="39">
        <f>R_min*SQRT(3)/2</f>
        <v>1.9052558883257651</v>
      </c>
      <c r="F3" s="39">
        <f>R_min*1/2</f>
        <v>1.1000000000000001</v>
      </c>
      <c r="G3" s="39">
        <v>-2</v>
      </c>
      <c r="H3" s="39">
        <f>R_max*SQRT(3)/2</f>
        <v>4.3301270189221928</v>
      </c>
      <c r="I3" s="39">
        <f>R_max*1/2</f>
        <v>2.5</v>
      </c>
      <c r="J3" s="39">
        <v>-0.2</v>
      </c>
      <c r="K3" s="39">
        <f>R_r*SQRT(3)/2</f>
        <v>2.598076211353316</v>
      </c>
      <c r="L3" s="39">
        <f>R_r*1/2</f>
        <v>1.5</v>
      </c>
      <c r="M3" s="39">
        <v>-1</v>
      </c>
      <c r="N3" s="39">
        <f>R_b*SQRT(3)/2</f>
        <v>1.7320508075688772</v>
      </c>
      <c r="O3" s="39">
        <f>R_b*1/2</f>
        <v>1</v>
      </c>
      <c r="P3" s="40">
        <v>0</v>
      </c>
      <c r="Q3" s="40">
        <f>30*PI()/180</f>
        <v>0.52359877559829882</v>
      </c>
      <c r="R3" s="39">
        <f>X*COS(A_global)-Y*SIN(A_global)+X_base</f>
        <v>2.848076211353316</v>
      </c>
      <c r="S3" s="39">
        <f t="shared" ref="S3:S8" si="0">X*SIN(A_global)+Y*COS(A_global)+Y_base</f>
        <v>1.0669872981077806</v>
      </c>
      <c r="T3" s="39">
        <f t="shared" ref="T3:T8" si="1">Z</f>
        <v>-2</v>
      </c>
      <c r="U3" s="40">
        <f t="shared" ref="U3:U8" si="2">ACOS((((X^2)+(Y^2)+(Z^2))-((L_1^2)-(L_2^2)))/(-2*L_1*L_2))</f>
        <v>1.591631167463545</v>
      </c>
      <c r="V3" s="40">
        <f t="shared" ref="V3:V8" si="3">(PI()/2)-ASIN((L_2*SIN(Alpha))/(SQRT((X^2)+(Y^2)+(Z^2))))+ATAN(Z/(SQRT((X^2)+(Y^2))))</f>
        <v>-0.55092885547337245</v>
      </c>
      <c r="W3" s="40">
        <f t="shared" ref="W3:W8" si="4">ATAN(Y/X)</f>
        <v>-0.46364760900080609</v>
      </c>
      <c r="X3" s="40">
        <f>Alpha*(180/PI())</f>
        <v>91.193748437141082</v>
      </c>
      <c r="Y3" s="40">
        <f t="shared" ref="Y3:Y8" si="5">Theta*(180/PI())</f>
        <v>-31.565898230597146</v>
      </c>
      <c r="Z3" s="40">
        <f t="shared" ref="Z3:Z8" si="6">Beta*(180/PI())</f>
        <v>-26.56505117707799</v>
      </c>
    </row>
    <row r="4" spans="1:26" x14ac:dyDescent="0.3">
      <c r="A4" s="1" t="s">
        <v>39</v>
      </c>
      <c r="B4" s="39">
        <v>1</v>
      </c>
      <c r="C4" s="39">
        <v>0</v>
      </c>
      <c r="D4" s="39">
        <v>-2</v>
      </c>
      <c r="E4" s="39">
        <v>0</v>
      </c>
      <c r="F4" s="39">
        <f>R_min</f>
        <v>2.2000000000000002</v>
      </c>
      <c r="G4" s="39">
        <v>-2</v>
      </c>
      <c r="H4" s="39">
        <v>0</v>
      </c>
      <c r="I4" s="39">
        <f>R_max</f>
        <v>5</v>
      </c>
      <c r="J4" s="39">
        <v>-0.2</v>
      </c>
      <c r="K4" s="39">
        <v>0</v>
      </c>
      <c r="L4" s="39">
        <f>R_r</f>
        <v>3</v>
      </c>
      <c r="M4" s="39">
        <v>-1</v>
      </c>
      <c r="N4" s="39">
        <v>0</v>
      </c>
      <c r="O4" s="39">
        <f>R_b</f>
        <v>2</v>
      </c>
      <c r="P4" s="40">
        <v>0</v>
      </c>
      <c r="Q4" s="39">
        <f>90*PI()/180</f>
        <v>1.5707963267948966</v>
      </c>
      <c r="R4" s="39">
        <f t="shared" ref="R4:R8" si="7">X*COS(A_global)-Y*SIN(A_global)+X_base</f>
        <v>6.1257422745431001E-17</v>
      </c>
      <c r="S4" s="39">
        <f t="shared" si="0"/>
        <v>3</v>
      </c>
      <c r="T4" s="39">
        <f t="shared" si="1"/>
        <v>-2</v>
      </c>
      <c r="U4" s="40">
        <f t="shared" si="2"/>
        <v>1.5707963267948966</v>
      </c>
      <c r="V4" s="40">
        <f t="shared" si="3"/>
        <v>-0.64350110879328426</v>
      </c>
      <c r="W4" s="40">
        <f t="shared" si="4"/>
        <v>0</v>
      </c>
      <c r="X4" s="40">
        <f t="shared" ref="X4:X8" si="8">U4*(180/PI())</f>
        <v>90</v>
      </c>
      <c r="Y4" s="40">
        <f t="shared" si="5"/>
        <v>-36.869897645844013</v>
      </c>
      <c r="Z4" s="40">
        <f t="shared" si="6"/>
        <v>0</v>
      </c>
    </row>
    <row r="5" spans="1:26" x14ac:dyDescent="0.3">
      <c r="A5" s="1" t="s">
        <v>40</v>
      </c>
      <c r="B5" s="39">
        <v>1</v>
      </c>
      <c r="C5" s="39">
        <v>0</v>
      </c>
      <c r="D5" s="39">
        <v>-2</v>
      </c>
      <c r="E5" s="39">
        <f>-R_min*SQRT(3)/2</f>
        <v>-1.9052558883257651</v>
      </c>
      <c r="F5" s="39">
        <f>R_min*1/2</f>
        <v>1.1000000000000001</v>
      </c>
      <c r="G5" s="39">
        <v>-2</v>
      </c>
      <c r="H5" s="39">
        <f>-R_max*SQRT(3)/2</f>
        <v>-4.3301270189221928</v>
      </c>
      <c r="I5" s="39">
        <f>R_max*1/2</f>
        <v>2.5</v>
      </c>
      <c r="J5" s="39">
        <v>-0.2</v>
      </c>
      <c r="K5" s="39">
        <f>-R_r*SQRT(3)/2</f>
        <v>-2.598076211353316</v>
      </c>
      <c r="L5" s="39">
        <f>R_r*1/2</f>
        <v>1.5</v>
      </c>
      <c r="M5" s="39">
        <v>-1</v>
      </c>
      <c r="N5" s="39">
        <f>-R_b*SQRT(3)/2</f>
        <v>-1.7320508075688772</v>
      </c>
      <c r="O5" s="39">
        <f>R_b*1/2</f>
        <v>1</v>
      </c>
      <c r="P5" s="40">
        <v>0</v>
      </c>
      <c r="Q5" s="40">
        <f>150*PI()/180</f>
        <v>2.6179938779914944</v>
      </c>
      <c r="R5" s="39">
        <f t="shared" si="7"/>
        <v>-2.598076211353316</v>
      </c>
      <c r="S5" s="39">
        <f t="shared" si="0"/>
        <v>1.5</v>
      </c>
      <c r="T5" s="39">
        <f t="shared" si="1"/>
        <v>-2</v>
      </c>
      <c r="U5" s="40">
        <f t="shared" si="2"/>
        <v>1.5707963267948966</v>
      </c>
      <c r="V5" s="40">
        <f t="shared" si="3"/>
        <v>-0.64350110879328426</v>
      </c>
      <c r="W5" s="40">
        <f t="shared" si="4"/>
        <v>0</v>
      </c>
      <c r="X5" s="40">
        <f t="shared" si="8"/>
        <v>90</v>
      </c>
      <c r="Y5" s="40">
        <f t="shared" si="5"/>
        <v>-36.869897645844013</v>
      </c>
      <c r="Z5" s="40">
        <f t="shared" si="6"/>
        <v>0</v>
      </c>
    </row>
    <row r="6" spans="1:26" x14ac:dyDescent="0.3">
      <c r="A6" s="1" t="s">
        <v>41</v>
      </c>
      <c r="B6" s="39">
        <v>1</v>
      </c>
      <c r="C6" s="39">
        <v>0</v>
      </c>
      <c r="D6" s="39">
        <v>-2</v>
      </c>
      <c r="E6" s="39">
        <f>-R_min*SQRT(3)/2</f>
        <v>-1.9052558883257651</v>
      </c>
      <c r="F6" s="39">
        <f>-R_min*1/2</f>
        <v>-1.1000000000000001</v>
      </c>
      <c r="G6" s="39">
        <v>-2</v>
      </c>
      <c r="H6" s="39">
        <f>-R_max*SQRT(3)/2</f>
        <v>-4.3301270189221928</v>
      </c>
      <c r="I6" s="39">
        <f>-R_max*1/2</f>
        <v>-2.5</v>
      </c>
      <c r="J6" s="39">
        <v>-0.2</v>
      </c>
      <c r="K6" s="39">
        <f>-R_r*SQRT(3)/2</f>
        <v>-2.598076211353316</v>
      </c>
      <c r="L6" s="39">
        <f>-R_r*1/2</f>
        <v>-1.5</v>
      </c>
      <c r="M6" s="39">
        <v>-1</v>
      </c>
      <c r="N6" s="39">
        <f>-R_b*SQRT(3)/2</f>
        <v>-1.7320508075688772</v>
      </c>
      <c r="O6" s="39">
        <f>-R_b*1/2</f>
        <v>-1</v>
      </c>
      <c r="P6" s="40">
        <v>0</v>
      </c>
      <c r="Q6" s="39">
        <f>210*PI()/180</f>
        <v>3.6651914291880923</v>
      </c>
      <c r="R6" s="39">
        <f t="shared" si="7"/>
        <v>-2.598076211353316</v>
      </c>
      <c r="S6" s="39">
        <f t="shared" si="0"/>
        <v>-1.5</v>
      </c>
      <c r="T6" s="39">
        <f t="shared" si="1"/>
        <v>-2</v>
      </c>
      <c r="U6" s="40">
        <f t="shared" si="2"/>
        <v>1.5707963267948966</v>
      </c>
      <c r="V6" s="40">
        <f t="shared" si="3"/>
        <v>-0.64350110879328426</v>
      </c>
      <c r="W6" s="40">
        <f t="shared" si="4"/>
        <v>0</v>
      </c>
      <c r="X6" s="40">
        <f t="shared" si="8"/>
        <v>90</v>
      </c>
      <c r="Y6" s="40">
        <f t="shared" si="5"/>
        <v>-36.869897645844013</v>
      </c>
      <c r="Z6" s="40">
        <f t="shared" si="6"/>
        <v>0</v>
      </c>
    </row>
    <row r="7" spans="1:26" x14ac:dyDescent="0.3">
      <c r="A7" s="1" t="s">
        <v>42</v>
      </c>
      <c r="B7" s="39">
        <v>1</v>
      </c>
      <c r="C7" s="39">
        <v>0</v>
      </c>
      <c r="D7" s="39">
        <v>-2</v>
      </c>
      <c r="E7" s="39">
        <v>0</v>
      </c>
      <c r="F7" s="39">
        <f>-R_min</f>
        <v>-2.2000000000000002</v>
      </c>
      <c r="G7" s="39">
        <v>-2</v>
      </c>
      <c r="H7" s="39">
        <v>0</v>
      </c>
      <c r="I7" s="39">
        <f>-R_max</f>
        <v>-5</v>
      </c>
      <c r="J7" s="39">
        <v>-0.2</v>
      </c>
      <c r="K7" s="39">
        <v>0</v>
      </c>
      <c r="L7" s="39">
        <f>-R_r</f>
        <v>-3</v>
      </c>
      <c r="M7" s="39">
        <v>-1</v>
      </c>
      <c r="N7" s="39">
        <v>0</v>
      </c>
      <c r="O7" s="39">
        <f>-R_b</f>
        <v>-2</v>
      </c>
      <c r="P7" s="40">
        <v>0</v>
      </c>
      <c r="Q7" s="40">
        <f>270*PI()/180</f>
        <v>4.7123889803846897</v>
      </c>
      <c r="R7" s="39">
        <f t="shared" si="7"/>
        <v>-1.83772268236293E-16</v>
      </c>
      <c r="S7" s="39">
        <f t="shared" si="0"/>
        <v>-3</v>
      </c>
      <c r="T7" s="39">
        <f t="shared" si="1"/>
        <v>-2</v>
      </c>
      <c r="U7" s="40">
        <f t="shared" si="2"/>
        <v>1.5707963267948966</v>
      </c>
      <c r="V7" s="40">
        <f t="shared" si="3"/>
        <v>-0.64350110879328426</v>
      </c>
      <c r="W7" s="40">
        <f t="shared" si="4"/>
        <v>0</v>
      </c>
      <c r="X7" s="40">
        <f t="shared" si="8"/>
        <v>90</v>
      </c>
      <c r="Y7" s="40">
        <f t="shared" si="5"/>
        <v>-36.869897645844013</v>
      </c>
      <c r="Z7" s="40">
        <f t="shared" si="6"/>
        <v>0</v>
      </c>
    </row>
    <row r="8" spans="1:26" x14ac:dyDescent="0.3">
      <c r="A8" s="1" t="s">
        <v>43</v>
      </c>
      <c r="B8" s="39">
        <v>1</v>
      </c>
      <c r="C8" s="39">
        <v>0</v>
      </c>
      <c r="D8" s="39">
        <v>-2</v>
      </c>
      <c r="E8" s="39">
        <f>R_min*SQRT(3)/2</f>
        <v>1.9052558883257651</v>
      </c>
      <c r="F8" s="39">
        <f>-R_min*1/2</f>
        <v>-1.1000000000000001</v>
      </c>
      <c r="G8" s="39">
        <v>-2</v>
      </c>
      <c r="H8" s="39">
        <f>R_max*SQRT(3)/2</f>
        <v>4.3301270189221928</v>
      </c>
      <c r="I8" s="39">
        <f>-R_max*1/2</f>
        <v>-2.5</v>
      </c>
      <c r="J8" s="39">
        <v>-0.2</v>
      </c>
      <c r="K8" s="39">
        <f>R_r*SQRT(3)/2</f>
        <v>2.598076211353316</v>
      </c>
      <c r="L8" s="39">
        <f>-R_r*1/2</f>
        <v>-1.5</v>
      </c>
      <c r="M8" s="39">
        <v>-1</v>
      </c>
      <c r="N8" s="39">
        <f>R_b*SQRT(3)/2</f>
        <v>1.7320508075688772</v>
      </c>
      <c r="O8" s="39">
        <f>-R_b*1/2</f>
        <v>-1</v>
      </c>
      <c r="P8" s="40">
        <v>0</v>
      </c>
      <c r="Q8" s="39">
        <f>330*PI()/180</f>
        <v>5.7595865315812871</v>
      </c>
      <c r="R8" s="39">
        <f t="shared" si="7"/>
        <v>2.5980762113533156</v>
      </c>
      <c r="S8" s="39">
        <f t="shared" si="0"/>
        <v>-1.5000000000000004</v>
      </c>
      <c r="T8" s="39">
        <f t="shared" si="1"/>
        <v>-2</v>
      </c>
      <c r="U8" s="40">
        <f t="shared" si="2"/>
        <v>1.5707963267948966</v>
      </c>
      <c r="V8" s="40">
        <f t="shared" si="3"/>
        <v>-0.64350110879328426</v>
      </c>
      <c r="W8" s="40">
        <f t="shared" si="4"/>
        <v>0</v>
      </c>
      <c r="X8" s="40">
        <f t="shared" si="8"/>
        <v>90</v>
      </c>
      <c r="Y8" s="40">
        <f t="shared" si="5"/>
        <v>-36.869897645844013</v>
      </c>
      <c r="Z8" s="40">
        <f t="shared" si="6"/>
        <v>0</v>
      </c>
    </row>
    <row r="9" spans="1:26" x14ac:dyDescent="0.3">
      <c r="D9" s="41"/>
      <c r="E9" s="41"/>
      <c r="F9" s="41"/>
      <c r="G9" s="41"/>
      <c r="H9" s="41"/>
      <c r="I9" s="41"/>
      <c r="J9" s="41"/>
      <c r="K9" s="41"/>
      <c r="L9" s="41"/>
      <c r="M9" s="41"/>
    </row>
    <row r="10" spans="1:26" x14ac:dyDescent="0.3">
      <c r="A10" s="38" t="s">
        <v>4</v>
      </c>
      <c r="B10" s="42">
        <v>3</v>
      </c>
    </row>
    <row r="11" spans="1:26" x14ac:dyDescent="0.3">
      <c r="A11" s="38" t="s">
        <v>1</v>
      </c>
      <c r="B11" s="42">
        <v>2</v>
      </c>
    </row>
    <row r="12" spans="1:26" x14ac:dyDescent="0.3">
      <c r="A12" s="22" t="s">
        <v>24</v>
      </c>
      <c r="B12" s="42">
        <v>3</v>
      </c>
    </row>
    <row r="13" spans="1:26" x14ac:dyDescent="0.3">
      <c r="A13" s="22" t="s">
        <v>47</v>
      </c>
      <c r="B13" s="42">
        <v>2</v>
      </c>
    </row>
    <row r="14" spans="1:26" x14ac:dyDescent="0.3">
      <c r="A14" s="22" t="s">
        <v>66</v>
      </c>
      <c r="B14" s="42">
        <v>2.2000000000000002</v>
      </c>
    </row>
    <row r="15" spans="1:26" x14ac:dyDescent="0.3">
      <c r="A15" s="22" t="s">
        <v>67</v>
      </c>
      <c r="B15" s="42">
        <v>5</v>
      </c>
    </row>
    <row r="16" spans="1:26" x14ac:dyDescent="0.3">
      <c r="P16" s="33"/>
      <c r="Q16" s="33"/>
      <c r="R16" s="33"/>
      <c r="S16" s="33"/>
      <c r="T16" s="33"/>
    </row>
  </sheetData>
  <mergeCells count="8">
    <mergeCell ref="X1:Z1"/>
    <mergeCell ref="N1:P1"/>
    <mergeCell ref="B1:D1"/>
    <mergeCell ref="E1:G1"/>
    <mergeCell ref="H1:J1"/>
    <mergeCell ref="Q1:T1"/>
    <mergeCell ref="K1:M1"/>
    <mergeCell ref="U1:W1"/>
  </mergeCell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1"/>
  <sheetViews>
    <sheetView workbookViewId="0">
      <selection activeCell="A2" sqref="A2"/>
    </sheetView>
  </sheetViews>
  <sheetFormatPr defaultRowHeight="14.4" x14ac:dyDescent="0.3"/>
  <cols>
    <col min="1" max="1" width="12" bestFit="1" customWidth="1"/>
  </cols>
  <sheetData>
    <row r="1" spans="1:3" x14ac:dyDescent="0.3">
      <c r="A1">
        <v>0</v>
      </c>
      <c r="B1">
        <v>0</v>
      </c>
      <c r="C1" t="s">
        <v>53</v>
      </c>
    </row>
    <row r="2" spans="1:3" x14ac:dyDescent="0.3">
      <c r="A2" s="43">
        <f>EXP(-(ABS(B2-2)^2.33)/0.23)+$A$1</f>
        <v>3.7613204469885664E-9</v>
      </c>
      <c r="B2">
        <f>B1+0.1</f>
        <v>0.1</v>
      </c>
    </row>
    <row r="3" spans="1:3" x14ac:dyDescent="0.3">
      <c r="A3" s="43">
        <f t="shared" ref="A3:A41" si="0">EXP(-(ABS(B3-2)^2.33)/0.23)+$A$1</f>
        <v>3.7369849515443568E-8</v>
      </c>
      <c r="B3">
        <f t="shared" ref="B3:B41" si="1">B2+0.1</f>
        <v>0.2</v>
      </c>
    </row>
    <row r="4" spans="1:3" x14ac:dyDescent="0.3">
      <c r="A4" s="43">
        <f t="shared" si="0"/>
        <v>3.1525808955654123E-7</v>
      </c>
      <c r="B4">
        <f t="shared" si="1"/>
        <v>0.30000000000000004</v>
      </c>
    </row>
    <row r="5" spans="1:3" x14ac:dyDescent="0.3">
      <c r="A5" s="43">
        <f t="shared" si="0"/>
        <v>2.2651805924878739E-6</v>
      </c>
      <c r="B5">
        <f t="shared" si="1"/>
        <v>0.4</v>
      </c>
    </row>
    <row r="6" spans="1:3" x14ac:dyDescent="0.3">
      <c r="A6" s="43">
        <f t="shared" si="0"/>
        <v>1.3906326581750079E-5</v>
      </c>
      <c r="B6">
        <f t="shared" si="1"/>
        <v>0.5</v>
      </c>
    </row>
    <row r="7" spans="1:3" x14ac:dyDescent="0.3">
      <c r="A7" s="43">
        <f t="shared" si="0"/>
        <v>7.3187262364615767E-5</v>
      </c>
      <c r="B7">
        <f t="shared" si="1"/>
        <v>0.6</v>
      </c>
    </row>
    <row r="8" spans="1:3" x14ac:dyDescent="0.3">
      <c r="A8" s="43">
        <f t="shared" si="0"/>
        <v>3.3134353621770333E-4</v>
      </c>
      <c r="B8">
        <f t="shared" si="1"/>
        <v>0.7</v>
      </c>
    </row>
    <row r="9" spans="1:3" x14ac:dyDescent="0.3">
      <c r="A9" s="43">
        <f t="shared" si="0"/>
        <v>1.2951554703307835E-3</v>
      </c>
      <c r="B9">
        <f t="shared" si="1"/>
        <v>0.79999999999999993</v>
      </c>
    </row>
    <row r="10" spans="1:3" x14ac:dyDescent="0.3">
      <c r="A10" s="43">
        <f t="shared" si="0"/>
        <v>4.3876303447544385E-3</v>
      </c>
      <c r="B10">
        <f t="shared" si="1"/>
        <v>0.89999999999999991</v>
      </c>
    </row>
    <row r="11" spans="1:3" x14ac:dyDescent="0.3">
      <c r="A11" s="43">
        <f t="shared" si="0"/>
        <v>1.2934901388949791E-2</v>
      </c>
      <c r="B11">
        <f t="shared" si="1"/>
        <v>0.99999999999999989</v>
      </c>
      <c r="C11" t="s">
        <v>54</v>
      </c>
    </row>
    <row r="12" spans="1:3" x14ac:dyDescent="0.3">
      <c r="A12" s="43">
        <f t="shared" si="0"/>
        <v>3.3326709640187822E-2</v>
      </c>
      <c r="B12">
        <f t="shared" si="1"/>
        <v>1.0999999999999999</v>
      </c>
    </row>
    <row r="13" spans="1:3" x14ac:dyDescent="0.3">
      <c r="A13" s="43">
        <f t="shared" si="0"/>
        <v>7.5391014764064485E-2</v>
      </c>
      <c r="B13">
        <f t="shared" si="1"/>
        <v>1.2</v>
      </c>
    </row>
    <row r="14" spans="1:3" x14ac:dyDescent="0.3">
      <c r="A14" s="43">
        <f t="shared" si="0"/>
        <v>0.15048800688482272</v>
      </c>
      <c r="B14">
        <f t="shared" si="1"/>
        <v>1.3</v>
      </c>
    </row>
    <row r="15" spans="1:3" x14ac:dyDescent="0.3">
      <c r="A15" s="43">
        <f t="shared" si="0"/>
        <v>0.26649353662113484</v>
      </c>
      <c r="B15">
        <f t="shared" si="1"/>
        <v>1.4000000000000001</v>
      </c>
    </row>
    <row r="16" spans="1:3" x14ac:dyDescent="0.3">
      <c r="A16" s="43">
        <f t="shared" si="0"/>
        <v>0.42117217199249152</v>
      </c>
      <c r="B16">
        <f t="shared" si="1"/>
        <v>1.5000000000000002</v>
      </c>
    </row>
    <row r="17" spans="1:3" x14ac:dyDescent="0.3">
      <c r="A17" s="43">
        <f t="shared" si="0"/>
        <v>0.59802135594038575</v>
      </c>
      <c r="B17">
        <f t="shared" si="1"/>
        <v>1.6000000000000003</v>
      </c>
    </row>
    <row r="18" spans="1:3" x14ac:dyDescent="0.3">
      <c r="A18" s="43">
        <f t="shared" si="0"/>
        <v>0.76873773587048555</v>
      </c>
      <c r="B18">
        <f t="shared" si="1"/>
        <v>1.7000000000000004</v>
      </c>
    </row>
    <row r="19" spans="1:3" x14ac:dyDescent="0.3">
      <c r="A19" s="43">
        <f t="shared" si="0"/>
        <v>0.90280196534137114</v>
      </c>
      <c r="B19">
        <f t="shared" si="1"/>
        <v>1.8000000000000005</v>
      </c>
    </row>
    <row r="20" spans="1:3" x14ac:dyDescent="0.3">
      <c r="A20" s="43">
        <f t="shared" si="0"/>
        <v>0.97986907763625286</v>
      </c>
      <c r="B20">
        <f t="shared" si="1"/>
        <v>1.9000000000000006</v>
      </c>
    </row>
    <row r="21" spans="1:3" x14ac:dyDescent="0.3">
      <c r="A21" s="43">
        <f t="shared" si="0"/>
        <v>1</v>
      </c>
      <c r="B21">
        <f t="shared" si="1"/>
        <v>2.0000000000000004</v>
      </c>
      <c r="C21" t="s">
        <v>51</v>
      </c>
    </row>
    <row r="22" spans="1:3" x14ac:dyDescent="0.3">
      <c r="A22" s="43">
        <f t="shared" si="0"/>
        <v>0.97986907763625242</v>
      </c>
      <c r="B22">
        <f t="shared" si="1"/>
        <v>2.1000000000000005</v>
      </c>
    </row>
    <row r="23" spans="1:3" x14ac:dyDescent="0.3">
      <c r="A23" s="43">
        <f t="shared" si="0"/>
        <v>0.90280196534136992</v>
      </c>
      <c r="B23">
        <f t="shared" si="1"/>
        <v>2.2000000000000006</v>
      </c>
    </row>
    <row r="24" spans="1:3" x14ac:dyDescent="0.3">
      <c r="A24" s="43">
        <f t="shared" si="0"/>
        <v>0.76873773587048388</v>
      </c>
      <c r="B24">
        <f t="shared" si="1"/>
        <v>2.3000000000000007</v>
      </c>
    </row>
    <row r="25" spans="1:3" x14ac:dyDescent="0.3">
      <c r="A25" s="43">
        <f t="shared" si="0"/>
        <v>0.59802135594038386</v>
      </c>
      <c r="B25">
        <f t="shared" si="1"/>
        <v>2.4000000000000008</v>
      </c>
    </row>
    <row r="26" spans="1:3" x14ac:dyDescent="0.3">
      <c r="A26" s="43">
        <f t="shared" si="0"/>
        <v>0.42117217199248974</v>
      </c>
      <c r="B26">
        <f t="shared" si="1"/>
        <v>2.5000000000000009</v>
      </c>
    </row>
    <row r="27" spans="1:3" x14ac:dyDescent="0.3">
      <c r="A27" s="43">
        <f t="shared" si="0"/>
        <v>0.26649353662113334</v>
      </c>
      <c r="B27">
        <f t="shared" si="1"/>
        <v>2.600000000000001</v>
      </c>
    </row>
    <row r="28" spans="1:3" x14ac:dyDescent="0.3">
      <c r="A28" s="43">
        <f t="shared" si="0"/>
        <v>0.1504880068848217</v>
      </c>
      <c r="B28">
        <f t="shared" si="1"/>
        <v>2.7000000000000011</v>
      </c>
    </row>
    <row r="29" spans="1:3" x14ac:dyDescent="0.3">
      <c r="A29" s="43">
        <f t="shared" si="0"/>
        <v>7.5391014764063888E-2</v>
      </c>
      <c r="B29">
        <f t="shared" si="1"/>
        <v>2.8000000000000012</v>
      </c>
    </row>
    <row r="30" spans="1:3" x14ac:dyDescent="0.3">
      <c r="A30" s="43">
        <f t="shared" si="0"/>
        <v>3.3326709640187496E-2</v>
      </c>
      <c r="B30">
        <f t="shared" si="1"/>
        <v>2.9000000000000012</v>
      </c>
    </row>
    <row r="31" spans="1:3" x14ac:dyDescent="0.3">
      <c r="A31" s="43">
        <f t="shared" si="0"/>
        <v>1.2934901388949619E-2</v>
      </c>
      <c r="B31">
        <f t="shared" si="1"/>
        <v>3.0000000000000013</v>
      </c>
      <c r="C31" t="s">
        <v>52</v>
      </c>
    </row>
    <row r="32" spans="1:3" x14ac:dyDescent="0.3">
      <c r="A32" s="43">
        <f t="shared" si="0"/>
        <v>4.3876303447543726E-3</v>
      </c>
      <c r="B32">
        <f t="shared" si="1"/>
        <v>3.1000000000000014</v>
      </c>
    </row>
    <row r="33" spans="1:3" x14ac:dyDescent="0.3">
      <c r="A33" s="43">
        <f t="shared" si="0"/>
        <v>1.2951554703307616E-3</v>
      </c>
      <c r="B33">
        <f t="shared" si="1"/>
        <v>3.2000000000000015</v>
      </c>
    </row>
    <row r="34" spans="1:3" x14ac:dyDescent="0.3">
      <c r="A34" s="43">
        <f t="shared" si="0"/>
        <v>3.3134353621769563E-4</v>
      </c>
      <c r="B34">
        <f t="shared" si="1"/>
        <v>3.3000000000000016</v>
      </c>
    </row>
    <row r="35" spans="1:3" x14ac:dyDescent="0.3">
      <c r="A35" s="43">
        <f t="shared" si="0"/>
        <v>7.3187262364613815E-5</v>
      </c>
      <c r="B35">
        <f t="shared" si="1"/>
        <v>3.4000000000000017</v>
      </c>
    </row>
    <row r="36" spans="1:3" x14ac:dyDescent="0.3">
      <c r="A36" s="43">
        <f t="shared" si="0"/>
        <v>1.3906326581749635E-5</v>
      </c>
      <c r="B36">
        <f t="shared" si="1"/>
        <v>3.5000000000000018</v>
      </c>
    </row>
    <row r="37" spans="1:3" x14ac:dyDescent="0.3">
      <c r="A37" s="43">
        <f t="shared" si="0"/>
        <v>2.2651805924878014E-6</v>
      </c>
      <c r="B37">
        <f t="shared" si="1"/>
        <v>3.6000000000000019</v>
      </c>
    </row>
    <row r="38" spans="1:3" x14ac:dyDescent="0.3">
      <c r="A38" s="43">
        <f t="shared" si="0"/>
        <v>3.1525808955652779E-7</v>
      </c>
      <c r="B38">
        <f t="shared" si="1"/>
        <v>3.700000000000002</v>
      </c>
    </row>
    <row r="39" spans="1:3" x14ac:dyDescent="0.3">
      <c r="A39" s="43">
        <f t="shared" si="0"/>
        <v>3.7369849515441841E-8</v>
      </c>
      <c r="B39">
        <f t="shared" si="1"/>
        <v>3.800000000000002</v>
      </c>
    </row>
    <row r="40" spans="1:3" x14ac:dyDescent="0.3">
      <c r="A40" s="43">
        <f t="shared" si="0"/>
        <v>3.7613204469883662E-9</v>
      </c>
      <c r="B40">
        <f t="shared" si="1"/>
        <v>3.9000000000000021</v>
      </c>
    </row>
    <row r="41" spans="1:3" x14ac:dyDescent="0.3">
      <c r="A41" s="43">
        <f t="shared" si="0"/>
        <v>3.2051175422316529E-10</v>
      </c>
      <c r="B41">
        <f t="shared" si="1"/>
        <v>4.0000000000000018</v>
      </c>
      <c r="C41" t="s">
        <v>53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1"/>
  <sheetViews>
    <sheetView workbookViewId="0">
      <selection activeCell="A11" sqref="A11"/>
    </sheetView>
  </sheetViews>
  <sheetFormatPr defaultRowHeight="14.4" x14ac:dyDescent="0.3"/>
  <cols>
    <col min="1" max="1" width="12" bestFit="1" customWidth="1"/>
  </cols>
  <sheetData>
    <row r="1" spans="1:3" x14ac:dyDescent="0.3">
      <c r="A1">
        <v>0</v>
      </c>
      <c r="B1">
        <v>0</v>
      </c>
      <c r="C1" t="s">
        <v>78</v>
      </c>
    </row>
    <row r="2" spans="1:3" x14ac:dyDescent="0.3">
      <c r="A2" s="43">
        <f>B2</f>
        <v>0.1</v>
      </c>
      <c r="B2">
        <f>B1+0.1</f>
        <v>0.1</v>
      </c>
    </row>
    <row r="3" spans="1:3" x14ac:dyDescent="0.3">
      <c r="A3" s="43">
        <f t="shared" ref="A3:A10" si="0">B3</f>
        <v>0.2</v>
      </c>
      <c r="B3">
        <f t="shared" ref="B3:B41" si="1">B2+0.1</f>
        <v>0.2</v>
      </c>
    </row>
    <row r="4" spans="1:3" x14ac:dyDescent="0.3">
      <c r="A4" s="43">
        <f t="shared" si="0"/>
        <v>0.30000000000000004</v>
      </c>
      <c r="B4">
        <f t="shared" si="1"/>
        <v>0.30000000000000004</v>
      </c>
    </row>
    <row r="5" spans="1:3" x14ac:dyDescent="0.3">
      <c r="A5" s="43">
        <f t="shared" si="0"/>
        <v>0.4</v>
      </c>
      <c r="B5">
        <f t="shared" si="1"/>
        <v>0.4</v>
      </c>
    </row>
    <row r="6" spans="1:3" x14ac:dyDescent="0.3">
      <c r="A6" s="43">
        <f t="shared" si="0"/>
        <v>0.5</v>
      </c>
      <c r="B6">
        <f t="shared" si="1"/>
        <v>0.5</v>
      </c>
    </row>
    <row r="7" spans="1:3" x14ac:dyDescent="0.3">
      <c r="A7" s="43">
        <f t="shared" si="0"/>
        <v>0.6</v>
      </c>
      <c r="B7">
        <f t="shared" si="1"/>
        <v>0.6</v>
      </c>
    </row>
    <row r="8" spans="1:3" x14ac:dyDescent="0.3">
      <c r="A8" s="43">
        <f t="shared" si="0"/>
        <v>0.7</v>
      </c>
      <c r="B8">
        <f t="shared" si="1"/>
        <v>0.7</v>
      </c>
    </row>
    <row r="9" spans="1:3" x14ac:dyDescent="0.3">
      <c r="A9" s="43">
        <f t="shared" si="0"/>
        <v>0.79999999999999993</v>
      </c>
      <c r="B9">
        <f t="shared" si="1"/>
        <v>0.79999999999999993</v>
      </c>
    </row>
    <row r="10" spans="1:3" x14ac:dyDescent="0.3">
      <c r="A10" s="43">
        <f t="shared" si="0"/>
        <v>0.89999999999999991</v>
      </c>
      <c r="B10">
        <f t="shared" si="1"/>
        <v>0.89999999999999991</v>
      </c>
    </row>
    <row r="11" spans="1:3" x14ac:dyDescent="0.3">
      <c r="A11" s="43">
        <f>-B11+2</f>
        <v>1</v>
      </c>
      <c r="B11">
        <f t="shared" si="1"/>
        <v>0.99999999999999989</v>
      </c>
      <c r="C11" t="s">
        <v>54</v>
      </c>
    </row>
    <row r="12" spans="1:3" x14ac:dyDescent="0.3">
      <c r="A12" s="43">
        <f>-B12+2</f>
        <v>0.90000000000000013</v>
      </c>
      <c r="B12">
        <f t="shared" si="1"/>
        <v>1.0999999999999999</v>
      </c>
    </row>
    <row r="13" spans="1:3" x14ac:dyDescent="0.3">
      <c r="A13" s="43">
        <f t="shared" ref="A13:A30" si="2">-B13+2</f>
        <v>0.8</v>
      </c>
      <c r="B13">
        <f t="shared" si="1"/>
        <v>1.2</v>
      </c>
    </row>
    <row r="14" spans="1:3" x14ac:dyDescent="0.3">
      <c r="A14" s="43">
        <f t="shared" si="2"/>
        <v>0.7</v>
      </c>
      <c r="B14">
        <f t="shared" si="1"/>
        <v>1.3</v>
      </c>
    </row>
    <row r="15" spans="1:3" x14ac:dyDescent="0.3">
      <c r="A15" s="43">
        <f t="shared" si="2"/>
        <v>0.59999999999999987</v>
      </c>
      <c r="B15">
        <f t="shared" si="1"/>
        <v>1.4000000000000001</v>
      </c>
    </row>
    <row r="16" spans="1:3" x14ac:dyDescent="0.3">
      <c r="A16" s="43">
        <f t="shared" si="2"/>
        <v>0.49999999999999978</v>
      </c>
      <c r="B16">
        <f t="shared" si="1"/>
        <v>1.5000000000000002</v>
      </c>
    </row>
    <row r="17" spans="1:3" x14ac:dyDescent="0.3">
      <c r="A17" s="43">
        <f t="shared" si="2"/>
        <v>0.39999999999999969</v>
      </c>
      <c r="B17">
        <f t="shared" si="1"/>
        <v>1.6000000000000003</v>
      </c>
    </row>
    <row r="18" spans="1:3" x14ac:dyDescent="0.3">
      <c r="A18" s="43">
        <f t="shared" si="2"/>
        <v>0.2999999999999996</v>
      </c>
      <c r="B18">
        <f t="shared" si="1"/>
        <v>1.7000000000000004</v>
      </c>
    </row>
    <row r="19" spans="1:3" x14ac:dyDescent="0.3">
      <c r="A19" s="43">
        <f t="shared" si="2"/>
        <v>0.19999999999999951</v>
      </c>
      <c r="B19">
        <f t="shared" si="1"/>
        <v>1.8000000000000005</v>
      </c>
    </row>
    <row r="20" spans="1:3" x14ac:dyDescent="0.3">
      <c r="A20" s="43">
        <f t="shared" si="2"/>
        <v>9.9999999999999423E-2</v>
      </c>
      <c r="B20">
        <f t="shared" si="1"/>
        <v>1.9000000000000006</v>
      </c>
    </row>
    <row r="21" spans="1:3" x14ac:dyDescent="0.3">
      <c r="A21" s="43">
        <f t="shared" si="2"/>
        <v>0</v>
      </c>
      <c r="B21">
        <f t="shared" si="1"/>
        <v>2.0000000000000004</v>
      </c>
      <c r="C21" t="s">
        <v>51</v>
      </c>
    </row>
    <row r="22" spans="1:3" x14ac:dyDescent="0.3">
      <c r="A22" s="43">
        <f t="shared" si="2"/>
        <v>-0.10000000000000053</v>
      </c>
      <c r="B22">
        <f t="shared" si="1"/>
        <v>2.1000000000000005</v>
      </c>
    </row>
    <row r="23" spans="1:3" x14ac:dyDescent="0.3">
      <c r="A23" s="43">
        <f t="shared" si="2"/>
        <v>-0.20000000000000062</v>
      </c>
      <c r="B23">
        <f t="shared" si="1"/>
        <v>2.2000000000000006</v>
      </c>
    </row>
    <row r="24" spans="1:3" x14ac:dyDescent="0.3">
      <c r="A24" s="43">
        <f t="shared" si="2"/>
        <v>-0.30000000000000071</v>
      </c>
      <c r="B24">
        <f t="shared" si="1"/>
        <v>2.3000000000000007</v>
      </c>
    </row>
    <row r="25" spans="1:3" x14ac:dyDescent="0.3">
      <c r="A25" s="43">
        <f t="shared" si="2"/>
        <v>-0.4000000000000008</v>
      </c>
      <c r="B25">
        <f t="shared" si="1"/>
        <v>2.4000000000000008</v>
      </c>
    </row>
    <row r="26" spans="1:3" x14ac:dyDescent="0.3">
      <c r="A26" s="43">
        <f t="shared" si="2"/>
        <v>-0.50000000000000089</v>
      </c>
      <c r="B26">
        <f t="shared" si="1"/>
        <v>2.5000000000000009</v>
      </c>
    </row>
    <row r="27" spans="1:3" x14ac:dyDescent="0.3">
      <c r="A27" s="43">
        <f t="shared" si="2"/>
        <v>-0.60000000000000098</v>
      </c>
      <c r="B27">
        <f t="shared" si="1"/>
        <v>2.600000000000001</v>
      </c>
    </row>
    <row r="28" spans="1:3" x14ac:dyDescent="0.3">
      <c r="A28" s="43">
        <f t="shared" si="2"/>
        <v>-0.70000000000000107</v>
      </c>
      <c r="B28">
        <f t="shared" si="1"/>
        <v>2.7000000000000011</v>
      </c>
    </row>
    <row r="29" spans="1:3" x14ac:dyDescent="0.3">
      <c r="A29" s="43">
        <f t="shared" si="2"/>
        <v>-0.80000000000000115</v>
      </c>
      <c r="B29">
        <f t="shared" si="1"/>
        <v>2.8000000000000012</v>
      </c>
    </row>
    <row r="30" spans="1:3" x14ac:dyDescent="0.3">
      <c r="A30" s="43">
        <f t="shared" si="2"/>
        <v>-0.90000000000000124</v>
      </c>
      <c r="B30">
        <f t="shared" si="1"/>
        <v>2.9000000000000012</v>
      </c>
    </row>
    <row r="31" spans="1:3" x14ac:dyDescent="0.3">
      <c r="A31" s="43">
        <f>B31-4</f>
        <v>-0.99999999999999867</v>
      </c>
      <c r="B31">
        <f t="shared" si="1"/>
        <v>3.0000000000000013</v>
      </c>
      <c r="C31" t="s">
        <v>52</v>
      </c>
    </row>
    <row r="32" spans="1:3" x14ac:dyDescent="0.3">
      <c r="A32" s="43">
        <f t="shared" ref="A32:A41" si="3">B32-4</f>
        <v>-0.89999999999999858</v>
      </c>
      <c r="B32">
        <f t="shared" si="1"/>
        <v>3.1000000000000014</v>
      </c>
    </row>
    <row r="33" spans="1:3" x14ac:dyDescent="0.3">
      <c r="A33" s="43">
        <f t="shared" si="3"/>
        <v>-0.79999999999999849</v>
      </c>
      <c r="B33">
        <f t="shared" si="1"/>
        <v>3.2000000000000015</v>
      </c>
    </row>
    <row r="34" spans="1:3" x14ac:dyDescent="0.3">
      <c r="A34" s="43">
        <f t="shared" si="3"/>
        <v>-0.6999999999999984</v>
      </c>
      <c r="B34">
        <f t="shared" si="1"/>
        <v>3.3000000000000016</v>
      </c>
    </row>
    <row r="35" spans="1:3" x14ac:dyDescent="0.3">
      <c r="A35" s="43">
        <f t="shared" si="3"/>
        <v>-0.59999999999999831</v>
      </c>
      <c r="B35">
        <f t="shared" si="1"/>
        <v>3.4000000000000017</v>
      </c>
    </row>
    <row r="36" spans="1:3" x14ac:dyDescent="0.3">
      <c r="A36" s="43">
        <f t="shared" si="3"/>
        <v>-0.49999999999999822</v>
      </c>
      <c r="B36">
        <f t="shared" si="1"/>
        <v>3.5000000000000018</v>
      </c>
    </row>
    <row r="37" spans="1:3" x14ac:dyDescent="0.3">
      <c r="A37" s="43">
        <f t="shared" si="3"/>
        <v>-0.39999999999999813</v>
      </c>
      <c r="B37">
        <f t="shared" si="1"/>
        <v>3.6000000000000019</v>
      </c>
    </row>
    <row r="38" spans="1:3" x14ac:dyDescent="0.3">
      <c r="A38" s="43">
        <f t="shared" si="3"/>
        <v>-0.29999999999999805</v>
      </c>
      <c r="B38">
        <f t="shared" si="1"/>
        <v>3.700000000000002</v>
      </c>
    </row>
    <row r="39" spans="1:3" x14ac:dyDescent="0.3">
      <c r="A39" s="43">
        <f t="shared" si="3"/>
        <v>-0.19999999999999796</v>
      </c>
      <c r="B39">
        <f t="shared" si="1"/>
        <v>3.800000000000002</v>
      </c>
    </row>
    <row r="40" spans="1:3" x14ac:dyDescent="0.3">
      <c r="A40" s="43">
        <f t="shared" si="3"/>
        <v>-9.9999999999997868E-2</v>
      </c>
      <c r="B40">
        <f t="shared" si="1"/>
        <v>3.9000000000000021</v>
      </c>
    </row>
    <row r="41" spans="1:3" x14ac:dyDescent="0.3">
      <c r="A41" s="43">
        <f t="shared" si="3"/>
        <v>0</v>
      </c>
      <c r="B41">
        <f t="shared" si="1"/>
        <v>4.0000000000000018</v>
      </c>
      <c r="C41" t="s">
        <v>53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4"/>
  <sheetViews>
    <sheetView workbookViewId="0">
      <selection activeCell="B27" sqref="B27"/>
    </sheetView>
  </sheetViews>
  <sheetFormatPr defaultRowHeight="14.4" x14ac:dyDescent="0.3"/>
  <cols>
    <col min="2" max="2" width="10.44140625" customWidth="1"/>
  </cols>
  <sheetData>
    <row r="1" spans="1:15" x14ac:dyDescent="0.3">
      <c r="A1" t="s">
        <v>81</v>
      </c>
      <c r="B1" t="s">
        <v>80</v>
      </c>
      <c r="C1" t="s">
        <v>79</v>
      </c>
    </row>
    <row r="2" spans="1:15" x14ac:dyDescent="0.3">
      <c r="A2">
        <v>0.99500000000000077</v>
      </c>
      <c r="B2">
        <v>1.229396519077818E-2</v>
      </c>
      <c r="C2">
        <v>0.99500000000000077</v>
      </c>
    </row>
    <row r="5" spans="1:15" x14ac:dyDescent="0.3">
      <c r="O5" t="s">
        <v>83</v>
      </c>
    </row>
    <row r="14" spans="1:15" x14ac:dyDescent="0.3">
      <c r="O14" t="s">
        <v>82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81"/>
  <sheetViews>
    <sheetView tabSelected="1" workbookViewId="0">
      <selection activeCell="A8" sqref="A8"/>
    </sheetView>
  </sheetViews>
  <sheetFormatPr defaultRowHeight="14.4" x14ac:dyDescent="0.3"/>
  <sheetData>
    <row r="1" spans="1:18" x14ac:dyDescent="0.3">
      <c r="A1" t="s">
        <v>81</v>
      </c>
      <c r="B1" t="s">
        <v>80</v>
      </c>
      <c r="C1" t="s">
        <v>79</v>
      </c>
      <c r="D1" t="s">
        <v>81</v>
      </c>
      <c r="E1" t="s">
        <v>80</v>
      </c>
      <c r="F1" t="s">
        <v>79</v>
      </c>
      <c r="G1" t="s">
        <v>81</v>
      </c>
      <c r="H1" t="s">
        <v>80</v>
      </c>
      <c r="I1" t="s">
        <v>79</v>
      </c>
      <c r="J1" t="s">
        <v>81</v>
      </c>
      <c r="K1" t="s">
        <v>80</v>
      </c>
      <c r="L1" t="s">
        <v>79</v>
      </c>
      <c r="M1" t="s">
        <v>81</v>
      </c>
      <c r="N1" t="s">
        <v>80</v>
      </c>
      <c r="O1" t="s">
        <v>79</v>
      </c>
      <c r="P1" t="s">
        <v>81</v>
      </c>
      <c r="Q1" t="s">
        <v>80</v>
      </c>
      <c r="R1" t="s">
        <v>79</v>
      </c>
    </row>
    <row r="2" spans="1:18" x14ac:dyDescent="0.3">
      <c r="A2">
        <v>0</v>
      </c>
      <c r="B2">
        <v>0</v>
      </c>
      <c r="C2">
        <v>0.1</v>
      </c>
      <c r="D2">
        <v>0</v>
      </c>
      <c r="E2">
        <v>0</v>
      </c>
      <c r="F2">
        <v>0.1</v>
      </c>
      <c r="G2">
        <v>0</v>
      </c>
      <c r="H2">
        <v>0</v>
      </c>
      <c r="I2">
        <v>0.1</v>
      </c>
      <c r="J2">
        <v>0</v>
      </c>
      <c r="K2">
        <v>0</v>
      </c>
      <c r="L2">
        <v>0.1</v>
      </c>
      <c r="M2">
        <v>0</v>
      </c>
      <c r="N2">
        <v>0</v>
      </c>
      <c r="O2">
        <v>0.1</v>
      </c>
      <c r="P2">
        <v>0</v>
      </c>
      <c r="Q2">
        <v>0</v>
      </c>
      <c r="R2">
        <v>0.1</v>
      </c>
    </row>
    <row r="3" spans="1:18" x14ac:dyDescent="0.3">
      <c r="A3">
        <v>0</v>
      </c>
      <c r="B3">
        <v>0</v>
      </c>
      <c r="C3">
        <v>0.2</v>
      </c>
      <c r="D3">
        <v>0</v>
      </c>
      <c r="E3">
        <v>0</v>
      </c>
      <c r="F3">
        <v>0.2</v>
      </c>
      <c r="G3">
        <v>0</v>
      </c>
      <c r="H3">
        <v>0</v>
      </c>
      <c r="I3">
        <v>0.2</v>
      </c>
      <c r="J3">
        <v>0</v>
      </c>
      <c r="K3">
        <v>0</v>
      </c>
      <c r="L3">
        <v>0.2</v>
      </c>
      <c r="M3">
        <v>0</v>
      </c>
      <c r="N3">
        <v>0</v>
      </c>
      <c r="O3">
        <v>0.2</v>
      </c>
      <c r="P3">
        <v>0</v>
      </c>
      <c r="Q3">
        <v>0</v>
      </c>
      <c r="R3">
        <v>0.2</v>
      </c>
    </row>
    <row r="4" spans="1:18" x14ac:dyDescent="0.3">
      <c r="A4">
        <v>0</v>
      </c>
      <c r="B4">
        <v>0</v>
      </c>
      <c r="C4">
        <v>0.30000000000000004</v>
      </c>
      <c r="D4">
        <v>0</v>
      </c>
      <c r="E4">
        <v>0</v>
      </c>
      <c r="F4">
        <v>0.30000000000000004</v>
      </c>
      <c r="G4">
        <v>0</v>
      </c>
      <c r="H4">
        <v>0</v>
      </c>
      <c r="I4">
        <v>0.30000000000000004</v>
      </c>
      <c r="J4">
        <v>0</v>
      </c>
      <c r="K4">
        <v>0</v>
      </c>
      <c r="L4">
        <v>0.30000000000000004</v>
      </c>
      <c r="M4">
        <v>0</v>
      </c>
      <c r="N4">
        <v>0</v>
      </c>
      <c r="O4">
        <v>0.30000000000000004</v>
      </c>
      <c r="P4">
        <v>0</v>
      </c>
      <c r="Q4">
        <v>0</v>
      </c>
      <c r="R4">
        <v>0.30000000000000004</v>
      </c>
    </row>
    <row r="5" spans="1:18" x14ac:dyDescent="0.3">
      <c r="A5">
        <v>0</v>
      </c>
      <c r="B5">
        <v>0</v>
      </c>
      <c r="C5">
        <v>0.4</v>
      </c>
      <c r="D5">
        <v>0</v>
      </c>
      <c r="E5">
        <v>0</v>
      </c>
      <c r="F5">
        <v>0.4</v>
      </c>
      <c r="G5">
        <v>0</v>
      </c>
      <c r="H5">
        <v>0</v>
      </c>
      <c r="I5">
        <v>0.4</v>
      </c>
      <c r="J5">
        <v>0</v>
      </c>
      <c r="K5">
        <v>0</v>
      </c>
      <c r="L5">
        <v>0.4</v>
      </c>
      <c r="M5">
        <v>0</v>
      </c>
      <c r="N5">
        <v>0</v>
      </c>
      <c r="O5">
        <v>0.4</v>
      </c>
      <c r="P5">
        <v>0</v>
      </c>
      <c r="Q5">
        <v>0</v>
      </c>
      <c r="R5">
        <v>0.4</v>
      </c>
    </row>
    <row r="6" spans="1:18" x14ac:dyDescent="0.3">
      <c r="A6">
        <v>0</v>
      </c>
      <c r="B6">
        <v>0</v>
      </c>
      <c r="C6">
        <v>0.5</v>
      </c>
      <c r="D6">
        <v>0</v>
      </c>
      <c r="E6">
        <v>0</v>
      </c>
      <c r="F6">
        <v>0.5</v>
      </c>
      <c r="G6">
        <v>0</v>
      </c>
      <c r="H6">
        <v>0</v>
      </c>
      <c r="I6">
        <v>0.5</v>
      </c>
      <c r="J6">
        <v>0</v>
      </c>
      <c r="K6">
        <v>0</v>
      </c>
      <c r="L6">
        <v>0.5</v>
      </c>
      <c r="M6">
        <v>0</v>
      </c>
      <c r="N6">
        <v>0</v>
      </c>
      <c r="O6">
        <v>0.5</v>
      </c>
      <c r="P6">
        <v>0</v>
      </c>
      <c r="Q6">
        <v>0</v>
      </c>
      <c r="R6">
        <v>0.5</v>
      </c>
    </row>
    <row r="7" spans="1:18" x14ac:dyDescent="0.3">
      <c r="A7">
        <v>0</v>
      </c>
      <c r="B7">
        <v>0</v>
      </c>
      <c r="C7">
        <v>0.6</v>
      </c>
      <c r="D7">
        <v>0</v>
      </c>
      <c r="E7">
        <v>0</v>
      </c>
      <c r="F7">
        <v>0.6</v>
      </c>
      <c r="G7">
        <v>0</v>
      </c>
      <c r="H7">
        <v>0</v>
      </c>
      <c r="I7">
        <v>0.6</v>
      </c>
      <c r="J7">
        <v>0</v>
      </c>
      <c r="K7">
        <v>0</v>
      </c>
      <c r="L7">
        <v>0.6</v>
      </c>
      <c r="M7">
        <v>0</v>
      </c>
      <c r="N7">
        <v>0</v>
      </c>
      <c r="O7">
        <v>0.6</v>
      </c>
      <c r="P7">
        <v>0</v>
      </c>
      <c r="Q7">
        <v>0</v>
      </c>
      <c r="R7">
        <v>0.6</v>
      </c>
    </row>
    <row r="8" spans="1:18" x14ac:dyDescent="0.3">
      <c r="A8">
        <v>0</v>
      </c>
      <c r="B8">
        <v>0</v>
      </c>
      <c r="C8">
        <v>0.7</v>
      </c>
      <c r="D8">
        <v>0</v>
      </c>
      <c r="E8">
        <v>0</v>
      </c>
      <c r="F8">
        <v>0.7</v>
      </c>
      <c r="G8">
        <v>0</v>
      </c>
      <c r="H8">
        <v>0</v>
      </c>
      <c r="I8">
        <v>0.7</v>
      </c>
      <c r="J8">
        <v>0</v>
      </c>
      <c r="K8">
        <v>0</v>
      </c>
      <c r="L8">
        <v>0.7</v>
      </c>
      <c r="M8">
        <v>0</v>
      </c>
      <c r="N8">
        <v>0</v>
      </c>
      <c r="O8">
        <v>0.7</v>
      </c>
      <c r="P8">
        <v>0</v>
      </c>
      <c r="Q8">
        <v>0</v>
      </c>
      <c r="R8">
        <v>0.7</v>
      </c>
    </row>
    <row r="9" spans="1:18" x14ac:dyDescent="0.3">
      <c r="A9">
        <v>0</v>
      </c>
      <c r="B9">
        <v>0</v>
      </c>
      <c r="C9">
        <v>0.79999999999999993</v>
      </c>
      <c r="D9">
        <v>0</v>
      </c>
      <c r="E9">
        <v>0</v>
      </c>
      <c r="F9">
        <v>0.79999999999999993</v>
      </c>
      <c r="G9">
        <v>0</v>
      </c>
      <c r="H9">
        <v>0</v>
      </c>
      <c r="I9">
        <v>0.79999999999999993</v>
      </c>
      <c r="J9">
        <v>0</v>
      </c>
      <c r="K9">
        <v>0</v>
      </c>
      <c r="L9">
        <v>0.79999999999999993</v>
      </c>
      <c r="M9">
        <v>0</v>
      </c>
      <c r="N9">
        <v>0</v>
      </c>
      <c r="O9">
        <v>0.79999999999999993</v>
      </c>
      <c r="P9">
        <v>0</v>
      </c>
      <c r="Q9">
        <v>0</v>
      </c>
      <c r="R9">
        <v>0.79999999999999993</v>
      </c>
    </row>
    <row r="10" spans="1:18" x14ac:dyDescent="0.3">
      <c r="A10">
        <v>0</v>
      </c>
      <c r="B10">
        <v>0</v>
      </c>
      <c r="C10">
        <v>0.89999999999999991</v>
      </c>
      <c r="D10">
        <v>0</v>
      </c>
      <c r="E10">
        <v>0</v>
      </c>
      <c r="F10">
        <v>0.89999999999999991</v>
      </c>
      <c r="G10">
        <v>0</v>
      </c>
      <c r="H10">
        <v>0</v>
      </c>
      <c r="I10">
        <v>0.89999999999999991</v>
      </c>
      <c r="J10">
        <v>0</v>
      </c>
      <c r="K10">
        <v>0</v>
      </c>
      <c r="L10">
        <v>0.89999999999999991</v>
      </c>
      <c r="M10">
        <v>0</v>
      </c>
      <c r="N10">
        <v>0</v>
      </c>
      <c r="O10">
        <v>0.89999999999999991</v>
      </c>
      <c r="P10">
        <v>0</v>
      </c>
      <c r="Q10">
        <v>0</v>
      </c>
      <c r="R10">
        <v>0.89999999999999991</v>
      </c>
    </row>
    <row r="11" spans="1:18" x14ac:dyDescent="0.3">
      <c r="A11">
        <v>0</v>
      </c>
      <c r="B11">
        <v>0</v>
      </c>
      <c r="C11">
        <v>0.99999999999999989</v>
      </c>
      <c r="D11">
        <v>0</v>
      </c>
      <c r="E11">
        <v>0</v>
      </c>
      <c r="F11">
        <v>0.99999999999999989</v>
      </c>
      <c r="G11">
        <v>0</v>
      </c>
      <c r="H11">
        <v>0</v>
      </c>
      <c r="I11">
        <v>0.99999999999999989</v>
      </c>
      <c r="J11">
        <v>0</v>
      </c>
      <c r="K11">
        <v>0</v>
      </c>
      <c r="L11">
        <v>0.99999999999999989</v>
      </c>
      <c r="M11">
        <v>0</v>
      </c>
      <c r="N11">
        <v>0</v>
      </c>
      <c r="O11">
        <v>0.99999999999999989</v>
      </c>
      <c r="P11">
        <v>0</v>
      </c>
      <c r="Q11">
        <v>0</v>
      </c>
      <c r="R11">
        <v>0.99999999999999989</v>
      </c>
    </row>
    <row r="12" spans="1:18" x14ac:dyDescent="0.3">
      <c r="A12">
        <v>0</v>
      </c>
      <c r="B12">
        <v>0</v>
      </c>
      <c r="C12">
        <v>1.0999999999999999</v>
      </c>
      <c r="D12">
        <v>0</v>
      </c>
      <c r="E12">
        <v>0</v>
      </c>
      <c r="F12">
        <v>1.0999999999999999</v>
      </c>
      <c r="G12">
        <v>0</v>
      </c>
      <c r="H12">
        <v>0</v>
      </c>
      <c r="I12">
        <v>1.0999999999999999</v>
      </c>
      <c r="J12">
        <v>0</v>
      </c>
      <c r="K12">
        <v>0</v>
      </c>
      <c r="L12">
        <v>1.0999999999999999</v>
      </c>
      <c r="M12">
        <v>0</v>
      </c>
      <c r="N12">
        <v>0</v>
      </c>
      <c r="O12">
        <v>1.0999999999999999</v>
      </c>
      <c r="P12">
        <v>0</v>
      </c>
      <c r="Q12">
        <v>0</v>
      </c>
      <c r="R12">
        <v>1.0999999999999999</v>
      </c>
    </row>
    <row r="13" spans="1:18" x14ac:dyDescent="0.3">
      <c r="A13">
        <v>0</v>
      </c>
      <c r="B13">
        <v>0</v>
      </c>
      <c r="C13">
        <v>1.2</v>
      </c>
      <c r="D13">
        <v>0</v>
      </c>
      <c r="E13">
        <v>0</v>
      </c>
      <c r="F13">
        <v>1.2</v>
      </c>
      <c r="G13">
        <v>0</v>
      </c>
      <c r="H13">
        <v>0</v>
      </c>
      <c r="I13">
        <v>1.2</v>
      </c>
      <c r="J13">
        <v>0</v>
      </c>
      <c r="K13">
        <v>0</v>
      </c>
      <c r="L13">
        <v>1.2</v>
      </c>
      <c r="M13">
        <v>0</v>
      </c>
      <c r="N13">
        <v>0</v>
      </c>
      <c r="O13">
        <v>1.2</v>
      </c>
      <c r="P13">
        <v>0</v>
      </c>
      <c r="Q13">
        <v>0</v>
      </c>
      <c r="R13">
        <v>1.2</v>
      </c>
    </row>
    <row r="14" spans="1:18" x14ac:dyDescent="0.3">
      <c r="A14">
        <v>0</v>
      </c>
      <c r="B14">
        <v>0</v>
      </c>
      <c r="C14">
        <v>1.3</v>
      </c>
      <c r="D14">
        <v>0</v>
      </c>
      <c r="E14">
        <v>0</v>
      </c>
      <c r="F14">
        <v>1.3</v>
      </c>
      <c r="G14">
        <v>0</v>
      </c>
      <c r="H14">
        <v>0</v>
      </c>
      <c r="I14">
        <v>1.3</v>
      </c>
      <c r="J14">
        <v>0</v>
      </c>
      <c r="K14">
        <v>0</v>
      </c>
      <c r="L14">
        <v>1.3</v>
      </c>
      <c r="M14">
        <v>0</v>
      </c>
      <c r="N14">
        <v>0</v>
      </c>
      <c r="O14">
        <v>1.3</v>
      </c>
      <c r="P14">
        <v>0</v>
      </c>
      <c r="Q14">
        <v>0</v>
      </c>
      <c r="R14">
        <v>1.3</v>
      </c>
    </row>
    <row r="15" spans="1:18" x14ac:dyDescent="0.3">
      <c r="A15">
        <v>0</v>
      </c>
      <c r="B15">
        <v>0</v>
      </c>
      <c r="C15">
        <v>1.4000000000000001</v>
      </c>
      <c r="D15">
        <v>0</v>
      </c>
      <c r="E15">
        <v>0</v>
      </c>
      <c r="F15">
        <v>1.4000000000000001</v>
      </c>
      <c r="G15">
        <v>0</v>
      </c>
      <c r="H15">
        <v>0</v>
      </c>
      <c r="I15">
        <v>1.4000000000000001</v>
      </c>
      <c r="J15">
        <v>0</v>
      </c>
      <c r="K15">
        <v>0</v>
      </c>
      <c r="L15">
        <v>1.4000000000000001</v>
      </c>
      <c r="M15">
        <v>0</v>
      </c>
      <c r="N15">
        <v>0</v>
      </c>
      <c r="O15">
        <v>1.4000000000000001</v>
      </c>
      <c r="P15">
        <v>0</v>
      </c>
      <c r="Q15">
        <v>0</v>
      </c>
      <c r="R15">
        <v>1.4000000000000001</v>
      </c>
    </row>
    <row r="16" spans="1:18" x14ac:dyDescent="0.3">
      <c r="A16">
        <v>0</v>
      </c>
      <c r="B16">
        <v>0</v>
      </c>
      <c r="C16">
        <v>1.5000000000000002</v>
      </c>
      <c r="D16">
        <v>0</v>
      </c>
      <c r="E16">
        <v>0</v>
      </c>
      <c r="F16">
        <v>1.5000000000000002</v>
      </c>
      <c r="G16">
        <v>0</v>
      </c>
      <c r="H16">
        <v>0</v>
      </c>
      <c r="I16">
        <v>1.5000000000000002</v>
      </c>
      <c r="J16">
        <v>0</v>
      </c>
      <c r="K16">
        <v>0</v>
      </c>
      <c r="L16">
        <v>1.5000000000000002</v>
      </c>
      <c r="M16">
        <v>0</v>
      </c>
      <c r="N16">
        <v>0</v>
      </c>
      <c r="O16">
        <v>1.5000000000000002</v>
      </c>
      <c r="P16">
        <v>0</v>
      </c>
      <c r="Q16">
        <v>0</v>
      </c>
      <c r="R16">
        <v>1.5000000000000002</v>
      </c>
    </row>
    <row r="17" spans="1:18" x14ac:dyDescent="0.3">
      <c r="A17">
        <v>0</v>
      </c>
      <c r="B17">
        <v>0</v>
      </c>
      <c r="C17">
        <v>1.6000000000000003</v>
      </c>
      <c r="D17">
        <v>0</v>
      </c>
      <c r="E17">
        <v>0</v>
      </c>
      <c r="F17">
        <v>1.6000000000000003</v>
      </c>
      <c r="G17">
        <v>0</v>
      </c>
      <c r="H17">
        <v>0</v>
      </c>
      <c r="I17">
        <v>1.6000000000000003</v>
      </c>
      <c r="J17">
        <v>0</v>
      </c>
      <c r="K17">
        <v>0</v>
      </c>
      <c r="L17">
        <v>1.6000000000000003</v>
      </c>
      <c r="M17">
        <v>0</v>
      </c>
      <c r="N17">
        <v>0</v>
      </c>
      <c r="O17">
        <v>1.6000000000000003</v>
      </c>
      <c r="P17">
        <v>0</v>
      </c>
      <c r="Q17">
        <v>0</v>
      </c>
      <c r="R17">
        <v>1.6000000000000003</v>
      </c>
    </row>
    <row r="18" spans="1:18" x14ac:dyDescent="0.3">
      <c r="A18">
        <v>0</v>
      </c>
      <c r="B18">
        <v>0</v>
      </c>
      <c r="C18">
        <v>1.7000000000000004</v>
      </c>
      <c r="D18">
        <v>0</v>
      </c>
      <c r="E18">
        <v>0</v>
      </c>
      <c r="F18">
        <v>1.7000000000000004</v>
      </c>
      <c r="G18">
        <v>0</v>
      </c>
      <c r="H18">
        <v>0</v>
      </c>
      <c r="I18">
        <v>1.7000000000000004</v>
      </c>
      <c r="J18">
        <v>0</v>
      </c>
      <c r="K18">
        <v>0</v>
      </c>
      <c r="L18">
        <v>1.7000000000000004</v>
      </c>
      <c r="M18">
        <v>0</v>
      </c>
      <c r="N18">
        <v>0</v>
      </c>
      <c r="O18">
        <v>1.7000000000000004</v>
      </c>
      <c r="P18">
        <v>0</v>
      </c>
      <c r="Q18">
        <v>0</v>
      </c>
      <c r="R18">
        <v>1.7000000000000004</v>
      </c>
    </row>
    <row r="19" spans="1:18" x14ac:dyDescent="0.3">
      <c r="A19">
        <v>0</v>
      </c>
      <c r="B19">
        <v>0</v>
      </c>
      <c r="C19">
        <v>1.8000000000000005</v>
      </c>
      <c r="D19">
        <v>0</v>
      </c>
      <c r="E19">
        <v>0</v>
      </c>
      <c r="F19">
        <v>1.8000000000000005</v>
      </c>
      <c r="G19">
        <v>0</v>
      </c>
      <c r="H19">
        <v>0</v>
      </c>
      <c r="I19">
        <v>1.8000000000000005</v>
      </c>
      <c r="J19">
        <v>0</v>
      </c>
      <c r="K19">
        <v>0</v>
      </c>
      <c r="L19">
        <v>1.8000000000000005</v>
      </c>
      <c r="M19">
        <v>0</v>
      </c>
      <c r="N19">
        <v>0</v>
      </c>
      <c r="O19">
        <v>1.8000000000000005</v>
      </c>
      <c r="P19">
        <v>0</v>
      </c>
      <c r="Q19">
        <v>0</v>
      </c>
      <c r="R19">
        <v>1.8000000000000005</v>
      </c>
    </row>
    <row r="20" spans="1:18" x14ac:dyDescent="0.3">
      <c r="A20">
        <v>0</v>
      </c>
      <c r="B20">
        <v>0</v>
      </c>
      <c r="C20">
        <v>1.9000000000000006</v>
      </c>
      <c r="D20">
        <v>0</v>
      </c>
      <c r="E20">
        <v>0</v>
      </c>
      <c r="F20">
        <v>1.9000000000000006</v>
      </c>
      <c r="G20">
        <v>0</v>
      </c>
      <c r="H20">
        <v>0</v>
      </c>
      <c r="I20">
        <v>1.9000000000000006</v>
      </c>
      <c r="J20">
        <v>0</v>
      </c>
      <c r="K20">
        <v>0</v>
      </c>
      <c r="L20">
        <v>1.9000000000000006</v>
      </c>
      <c r="M20">
        <v>0</v>
      </c>
      <c r="N20">
        <v>0</v>
      </c>
      <c r="O20">
        <v>1.9000000000000006</v>
      </c>
      <c r="P20">
        <v>0</v>
      </c>
      <c r="Q20">
        <v>0</v>
      </c>
      <c r="R20">
        <v>1.9000000000000006</v>
      </c>
    </row>
    <row r="21" spans="1:18" x14ac:dyDescent="0.3">
      <c r="A21">
        <v>0</v>
      </c>
      <c r="B21">
        <v>0</v>
      </c>
      <c r="C21">
        <v>2.0000000000000004</v>
      </c>
      <c r="D21">
        <v>0.99999999999999978</v>
      </c>
      <c r="E21">
        <v>4</v>
      </c>
      <c r="F21">
        <v>2.0000000000000004</v>
      </c>
      <c r="G21">
        <v>0</v>
      </c>
      <c r="H21">
        <v>0</v>
      </c>
      <c r="I21">
        <v>2.0000000000000004</v>
      </c>
      <c r="J21">
        <v>0.99999999999999978</v>
      </c>
      <c r="K21">
        <v>4</v>
      </c>
      <c r="L21">
        <v>2.0000000000000004</v>
      </c>
      <c r="M21">
        <v>0</v>
      </c>
      <c r="N21">
        <v>0</v>
      </c>
      <c r="O21">
        <v>2.0000000000000004</v>
      </c>
      <c r="P21">
        <v>0.99999999999999978</v>
      </c>
      <c r="Q21">
        <v>4</v>
      </c>
      <c r="R21">
        <v>2.0000000000000004</v>
      </c>
    </row>
    <row r="22" spans="1:18" x14ac:dyDescent="0.3">
      <c r="A22">
        <v>0</v>
      </c>
      <c r="B22">
        <v>0</v>
      </c>
      <c r="C22">
        <v>2.1000000000000005</v>
      </c>
      <c r="D22">
        <v>0.94999999999999973</v>
      </c>
      <c r="E22">
        <v>4.0500000000000007</v>
      </c>
      <c r="F22">
        <v>2.1000000000000005</v>
      </c>
      <c r="G22">
        <v>0</v>
      </c>
      <c r="H22">
        <v>0</v>
      </c>
      <c r="I22">
        <v>2.1000000000000005</v>
      </c>
      <c r="J22">
        <v>0.94999999999999973</v>
      </c>
      <c r="K22">
        <v>4.0500000000000007</v>
      </c>
      <c r="L22">
        <v>2.1000000000000005</v>
      </c>
      <c r="M22">
        <v>0</v>
      </c>
      <c r="N22">
        <v>0</v>
      </c>
      <c r="O22">
        <v>2.1000000000000005</v>
      </c>
      <c r="P22">
        <v>0.94999999999999973</v>
      </c>
      <c r="Q22">
        <v>4.0500000000000007</v>
      </c>
      <c r="R22">
        <v>2.1000000000000005</v>
      </c>
    </row>
    <row r="23" spans="1:18" x14ac:dyDescent="0.3">
      <c r="A23">
        <v>0</v>
      </c>
      <c r="B23">
        <v>0</v>
      </c>
      <c r="C23">
        <v>2.2000000000000006</v>
      </c>
      <c r="D23">
        <v>0.89999999999999969</v>
      </c>
      <c r="E23">
        <v>4.1000000000000005</v>
      </c>
      <c r="F23">
        <v>2.2000000000000006</v>
      </c>
      <c r="G23">
        <v>0</v>
      </c>
      <c r="H23">
        <v>0</v>
      </c>
      <c r="I23">
        <v>2.2000000000000006</v>
      </c>
      <c r="J23">
        <v>0.89999999999999969</v>
      </c>
      <c r="K23">
        <v>4.1000000000000005</v>
      </c>
      <c r="L23">
        <v>2.2000000000000006</v>
      </c>
      <c r="M23">
        <v>0</v>
      </c>
      <c r="N23">
        <v>0</v>
      </c>
      <c r="O23">
        <v>2.2000000000000006</v>
      </c>
      <c r="P23">
        <v>0.89999999999999969</v>
      </c>
      <c r="Q23">
        <v>4.1000000000000005</v>
      </c>
      <c r="R23">
        <v>2.2000000000000006</v>
      </c>
    </row>
    <row r="24" spans="1:18" x14ac:dyDescent="0.3">
      <c r="A24">
        <v>0</v>
      </c>
      <c r="B24">
        <v>0</v>
      </c>
      <c r="C24">
        <v>2.3000000000000007</v>
      </c>
      <c r="D24">
        <v>0.84999999999999964</v>
      </c>
      <c r="E24">
        <v>4.1500000000000004</v>
      </c>
      <c r="F24">
        <v>2.3000000000000007</v>
      </c>
      <c r="G24">
        <v>0</v>
      </c>
      <c r="H24">
        <v>0</v>
      </c>
      <c r="I24">
        <v>2.3000000000000007</v>
      </c>
      <c r="J24">
        <v>0.84999999999999964</v>
      </c>
      <c r="K24">
        <v>4.1500000000000004</v>
      </c>
      <c r="L24">
        <v>2.3000000000000007</v>
      </c>
      <c r="M24">
        <v>0</v>
      </c>
      <c r="N24">
        <v>0</v>
      </c>
      <c r="O24">
        <v>2.3000000000000007</v>
      </c>
      <c r="P24">
        <v>0.84999999999999964</v>
      </c>
      <c r="Q24">
        <v>4.1500000000000004</v>
      </c>
      <c r="R24">
        <v>2.3000000000000007</v>
      </c>
    </row>
    <row r="25" spans="1:18" x14ac:dyDescent="0.3">
      <c r="A25">
        <v>0</v>
      </c>
      <c r="B25">
        <v>0</v>
      </c>
      <c r="C25">
        <v>2.4000000000000008</v>
      </c>
      <c r="D25">
        <v>0.7999999999999996</v>
      </c>
      <c r="E25">
        <v>4.2</v>
      </c>
      <c r="F25">
        <v>2.4000000000000008</v>
      </c>
      <c r="G25">
        <v>0</v>
      </c>
      <c r="H25">
        <v>0</v>
      </c>
      <c r="I25">
        <v>2.4000000000000008</v>
      </c>
      <c r="J25">
        <v>0.7999999999999996</v>
      </c>
      <c r="K25">
        <v>4.2</v>
      </c>
      <c r="L25">
        <v>2.4000000000000008</v>
      </c>
      <c r="M25">
        <v>0</v>
      </c>
      <c r="N25">
        <v>0</v>
      </c>
      <c r="O25">
        <v>2.4000000000000008</v>
      </c>
      <c r="P25">
        <v>0.7999999999999996</v>
      </c>
      <c r="Q25">
        <v>4.2</v>
      </c>
      <c r="R25">
        <v>2.4000000000000008</v>
      </c>
    </row>
    <row r="26" spans="1:18" x14ac:dyDescent="0.3">
      <c r="A26">
        <v>0</v>
      </c>
      <c r="B26">
        <v>0</v>
      </c>
      <c r="C26">
        <v>2.5000000000000009</v>
      </c>
      <c r="D26">
        <v>0.74999999999999956</v>
      </c>
      <c r="E26">
        <v>4.25</v>
      </c>
      <c r="F26">
        <v>2.5000000000000009</v>
      </c>
      <c r="G26">
        <v>0</v>
      </c>
      <c r="H26">
        <v>0</v>
      </c>
      <c r="I26">
        <v>2.5000000000000009</v>
      </c>
      <c r="J26">
        <v>0.74999999999999956</v>
      </c>
      <c r="K26">
        <v>4.25</v>
      </c>
      <c r="L26">
        <v>2.5000000000000009</v>
      </c>
      <c r="M26">
        <v>0</v>
      </c>
      <c r="N26">
        <v>0</v>
      </c>
      <c r="O26">
        <v>2.5000000000000009</v>
      </c>
      <c r="P26">
        <v>0.74999999999999956</v>
      </c>
      <c r="Q26">
        <v>4.25</v>
      </c>
      <c r="R26">
        <v>2.5000000000000009</v>
      </c>
    </row>
    <row r="27" spans="1:18" x14ac:dyDescent="0.3">
      <c r="A27">
        <v>0</v>
      </c>
      <c r="B27">
        <v>0</v>
      </c>
      <c r="C27">
        <v>2.600000000000001</v>
      </c>
      <c r="D27">
        <v>0.69999999999999951</v>
      </c>
      <c r="E27">
        <v>4.3000000000000007</v>
      </c>
      <c r="F27">
        <v>2.600000000000001</v>
      </c>
      <c r="G27">
        <v>0</v>
      </c>
      <c r="H27">
        <v>0</v>
      </c>
      <c r="I27">
        <v>2.600000000000001</v>
      </c>
      <c r="J27">
        <v>0.69999999999999951</v>
      </c>
      <c r="K27">
        <v>4.3000000000000007</v>
      </c>
      <c r="L27">
        <v>2.600000000000001</v>
      </c>
      <c r="M27">
        <v>0</v>
      </c>
      <c r="N27">
        <v>0</v>
      </c>
      <c r="O27">
        <v>2.600000000000001</v>
      </c>
      <c r="P27">
        <v>0.69999999999999951</v>
      </c>
      <c r="Q27">
        <v>4.3000000000000007</v>
      </c>
      <c r="R27">
        <v>2.600000000000001</v>
      </c>
    </row>
    <row r="28" spans="1:18" x14ac:dyDescent="0.3">
      <c r="A28">
        <v>0</v>
      </c>
      <c r="B28">
        <v>0</v>
      </c>
      <c r="C28">
        <v>2.7000000000000011</v>
      </c>
      <c r="D28">
        <v>0.64999999999999947</v>
      </c>
      <c r="E28">
        <v>4.3500000000000005</v>
      </c>
      <c r="F28">
        <v>2.7000000000000011</v>
      </c>
      <c r="G28">
        <v>0</v>
      </c>
      <c r="H28">
        <v>0</v>
      </c>
      <c r="I28">
        <v>2.7000000000000011</v>
      </c>
      <c r="J28">
        <v>0.64999999999999947</v>
      </c>
      <c r="K28">
        <v>4.3500000000000005</v>
      </c>
      <c r="L28">
        <v>2.7000000000000011</v>
      </c>
      <c r="M28">
        <v>0</v>
      </c>
      <c r="N28">
        <v>0</v>
      </c>
      <c r="O28">
        <v>2.7000000000000011</v>
      </c>
      <c r="P28">
        <v>0.64999999999999947</v>
      </c>
      <c r="Q28">
        <v>4.3500000000000005</v>
      </c>
      <c r="R28">
        <v>2.7000000000000011</v>
      </c>
    </row>
    <row r="29" spans="1:18" x14ac:dyDescent="0.3">
      <c r="A29">
        <v>0</v>
      </c>
      <c r="B29">
        <v>0</v>
      </c>
      <c r="C29">
        <v>2.8000000000000012</v>
      </c>
      <c r="D29">
        <v>0.59999999999999942</v>
      </c>
      <c r="E29">
        <v>4.4000000000000004</v>
      </c>
      <c r="F29">
        <v>2.8000000000000012</v>
      </c>
      <c r="G29">
        <v>0</v>
      </c>
      <c r="H29">
        <v>0</v>
      </c>
      <c r="I29">
        <v>2.8000000000000012</v>
      </c>
      <c r="J29">
        <v>0.59999999999999942</v>
      </c>
      <c r="K29">
        <v>4.4000000000000004</v>
      </c>
      <c r="L29">
        <v>2.8000000000000012</v>
      </c>
      <c r="M29">
        <v>0</v>
      </c>
      <c r="N29">
        <v>0</v>
      </c>
      <c r="O29">
        <v>2.8000000000000012</v>
      </c>
      <c r="P29">
        <v>0.59999999999999942</v>
      </c>
      <c r="Q29">
        <v>4.4000000000000004</v>
      </c>
      <c r="R29">
        <v>2.8000000000000012</v>
      </c>
    </row>
    <row r="30" spans="1:18" x14ac:dyDescent="0.3">
      <c r="A30">
        <v>0</v>
      </c>
      <c r="B30">
        <v>0</v>
      </c>
      <c r="C30">
        <v>2.9000000000000012</v>
      </c>
      <c r="D30">
        <v>0.54999999999999938</v>
      </c>
      <c r="E30">
        <v>4.4500000000000011</v>
      </c>
      <c r="F30">
        <v>2.9000000000000012</v>
      </c>
      <c r="G30">
        <v>0</v>
      </c>
      <c r="H30">
        <v>0</v>
      </c>
      <c r="I30">
        <v>2.9000000000000012</v>
      </c>
      <c r="J30">
        <v>0.54999999999999938</v>
      </c>
      <c r="K30">
        <v>4.4500000000000011</v>
      </c>
      <c r="L30">
        <v>2.9000000000000012</v>
      </c>
      <c r="M30">
        <v>0</v>
      </c>
      <c r="N30">
        <v>0</v>
      </c>
      <c r="O30">
        <v>2.9000000000000012</v>
      </c>
      <c r="P30">
        <v>0.54999999999999938</v>
      </c>
      <c r="Q30">
        <v>4.4500000000000011</v>
      </c>
      <c r="R30">
        <v>2.9000000000000012</v>
      </c>
    </row>
    <row r="31" spans="1:18" x14ac:dyDescent="0.3">
      <c r="A31">
        <v>0</v>
      </c>
      <c r="B31">
        <v>0</v>
      </c>
      <c r="C31">
        <v>3.0000000000000013</v>
      </c>
      <c r="D31">
        <v>0.49999999999999933</v>
      </c>
      <c r="E31">
        <v>4.5000000000000009</v>
      </c>
      <c r="F31">
        <v>3.0000000000000013</v>
      </c>
      <c r="G31">
        <v>0</v>
      </c>
      <c r="H31">
        <v>0</v>
      </c>
      <c r="I31">
        <v>3.0000000000000013</v>
      </c>
      <c r="J31">
        <v>0.49999999999999933</v>
      </c>
      <c r="K31">
        <v>4.5000000000000009</v>
      </c>
      <c r="L31">
        <v>3.0000000000000013</v>
      </c>
      <c r="M31">
        <v>0</v>
      </c>
      <c r="N31">
        <v>0</v>
      </c>
      <c r="O31">
        <v>3.0000000000000013</v>
      </c>
      <c r="P31">
        <v>0.49999999999999933</v>
      </c>
      <c r="Q31">
        <v>4.5000000000000009</v>
      </c>
      <c r="R31">
        <v>3.0000000000000013</v>
      </c>
    </row>
    <row r="32" spans="1:18" x14ac:dyDescent="0.3">
      <c r="A32">
        <v>0</v>
      </c>
      <c r="B32">
        <v>0</v>
      </c>
      <c r="C32">
        <v>3.1000000000000014</v>
      </c>
      <c r="D32">
        <v>0.44999999999999929</v>
      </c>
      <c r="E32">
        <v>4.5500000000000007</v>
      </c>
      <c r="F32">
        <v>3.1000000000000014</v>
      </c>
      <c r="G32">
        <v>0</v>
      </c>
      <c r="H32">
        <v>0</v>
      </c>
      <c r="I32">
        <v>3.1000000000000014</v>
      </c>
      <c r="J32">
        <v>0.44999999999999929</v>
      </c>
      <c r="K32">
        <v>4.5500000000000007</v>
      </c>
      <c r="L32">
        <v>3.1000000000000014</v>
      </c>
      <c r="M32">
        <v>0</v>
      </c>
      <c r="N32">
        <v>0</v>
      </c>
      <c r="O32">
        <v>3.1000000000000014</v>
      </c>
      <c r="P32">
        <v>0.44999999999999929</v>
      </c>
      <c r="Q32">
        <v>4.5500000000000007</v>
      </c>
      <c r="R32">
        <v>3.1000000000000014</v>
      </c>
    </row>
    <row r="33" spans="1:18" x14ac:dyDescent="0.3">
      <c r="A33">
        <v>0</v>
      </c>
      <c r="B33">
        <v>0</v>
      </c>
      <c r="C33">
        <v>3.2000000000000015</v>
      </c>
      <c r="D33">
        <v>0.39999999999999925</v>
      </c>
      <c r="E33">
        <v>4.6000000000000005</v>
      </c>
      <c r="F33">
        <v>3.2000000000000015</v>
      </c>
      <c r="G33">
        <v>0</v>
      </c>
      <c r="H33">
        <v>0</v>
      </c>
      <c r="I33">
        <v>3.2000000000000015</v>
      </c>
      <c r="J33">
        <v>0.39999999999999925</v>
      </c>
      <c r="K33">
        <v>4.6000000000000005</v>
      </c>
      <c r="L33">
        <v>3.2000000000000015</v>
      </c>
      <c r="M33">
        <v>0</v>
      </c>
      <c r="N33">
        <v>0</v>
      </c>
      <c r="O33">
        <v>3.2000000000000015</v>
      </c>
      <c r="P33">
        <v>0.39999999999999925</v>
      </c>
      <c r="Q33">
        <v>4.6000000000000005</v>
      </c>
      <c r="R33">
        <v>3.2000000000000015</v>
      </c>
    </row>
    <row r="34" spans="1:18" x14ac:dyDescent="0.3">
      <c r="A34">
        <v>0</v>
      </c>
      <c r="B34">
        <v>0</v>
      </c>
      <c r="C34">
        <v>3.3000000000000016</v>
      </c>
      <c r="D34">
        <v>0.3499999999999992</v>
      </c>
      <c r="E34">
        <v>4.6500000000000004</v>
      </c>
      <c r="F34">
        <v>3.3000000000000016</v>
      </c>
      <c r="G34">
        <v>0</v>
      </c>
      <c r="H34">
        <v>0</v>
      </c>
      <c r="I34">
        <v>3.3000000000000016</v>
      </c>
      <c r="J34">
        <v>0.3499999999999992</v>
      </c>
      <c r="K34">
        <v>4.6500000000000004</v>
      </c>
      <c r="L34">
        <v>3.3000000000000016</v>
      </c>
      <c r="M34">
        <v>0</v>
      </c>
      <c r="N34">
        <v>0</v>
      </c>
      <c r="O34">
        <v>3.3000000000000016</v>
      </c>
      <c r="P34">
        <v>0.3499999999999992</v>
      </c>
      <c r="Q34">
        <v>4.6500000000000004</v>
      </c>
      <c r="R34">
        <v>3.3000000000000016</v>
      </c>
    </row>
    <row r="35" spans="1:18" x14ac:dyDescent="0.3">
      <c r="A35">
        <v>0</v>
      </c>
      <c r="B35">
        <v>0</v>
      </c>
      <c r="C35">
        <v>3.4000000000000017</v>
      </c>
      <c r="D35">
        <v>0.29999999999999916</v>
      </c>
      <c r="E35">
        <v>4.7000000000000011</v>
      </c>
      <c r="F35">
        <v>3.4000000000000017</v>
      </c>
      <c r="G35">
        <v>0</v>
      </c>
      <c r="H35">
        <v>0</v>
      </c>
      <c r="I35">
        <v>3.4000000000000017</v>
      </c>
      <c r="J35">
        <v>0.29999999999999916</v>
      </c>
      <c r="K35">
        <v>4.7000000000000011</v>
      </c>
      <c r="L35">
        <v>3.4000000000000017</v>
      </c>
      <c r="M35">
        <v>0</v>
      </c>
      <c r="N35">
        <v>0</v>
      </c>
      <c r="O35">
        <v>3.4000000000000017</v>
      </c>
      <c r="P35">
        <v>0.29999999999999916</v>
      </c>
      <c r="Q35">
        <v>4.7000000000000011</v>
      </c>
      <c r="R35">
        <v>3.4000000000000017</v>
      </c>
    </row>
    <row r="36" spans="1:18" x14ac:dyDescent="0.3">
      <c r="A36">
        <v>0</v>
      </c>
      <c r="B36">
        <v>0</v>
      </c>
      <c r="C36">
        <v>3.5000000000000018</v>
      </c>
      <c r="D36">
        <v>0.24999999999999911</v>
      </c>
      <c r="E36">
        <v>4.7500000000000009</v>
      </c>
      <c r="F36">
        <v>3.5000000000000018</v>
      </c>
      <c r="G36">
        <v>0</v>
      </c>
      <c r="H36">
        <v>0</v>
      </c>
      <c r="I36">
        <v>3.5000000000000018</v>
      </c>
      <c r="J36">
        <v>0.24999999999999911</v>
      </c>
      <c r="K36">
        <v>4.7500000000000009</v>
      </c>
      <c r="L36">
        <v>3.5000000000000018</v>
      </c>
      <c r="M36">
        <v>0</v>
      </c>
      <c r="N36">
        <v>0</v>
      </c>
      <c r="O36">
        <v>3.5000000000000018</v>
      </c>
      <c r="P36">
        <v>0.24999999999999911</v>
      </c>
      <c r="Q36">
        <v>4.7500000000000009</v>
      </c>
      <c r="R36">
        <v>3.5000000000000018</v>
      </c>
    </row>
    <row r="37" spans="1:18" x14ac:dyDescent="0.3">
      <c r="A37">
        <v>0</v>
      </c>
      <c r="B37">
        <v>0</v>
      </c>
      <c r="C37">
        <v>3.6000000000000019</v>
      </c>
      <c r="D37">
        <v>0.19999999999999907</v>
      </c>
      <c r="E37">
        <v>4.8000000000000007</v>
      </c>
      <c r="F37">
        <v>3.6000000000000019</v>
      </c>
      <c r="G37">
        <v>0</v>
      </c>
      <c r="H37">
        <v>0</v>
      </c>
      <c r="I37">
        <v>3.6000000000000019</v>
      </c>
      <c r="J37">
        <v>0.19999999999999907</v>
      </c>
      <c r="K37">
        <v>4.8000000000000007</v>
      </c>
      <c r="L37">
        <v>3.6000000000000019</v>
      </c>
      <c r="M37">
        <v>0</v>
      </c>
      <c r="N37">
        <v>0</v>
      </c>
      <c r="O37">
        <v>3.6000000000000019</v>
      </c>
      <c r="P37">
        <v>0.19999999999999907</v>
      </c>
      <c r="Q37">
        <v>4.8000000000000007</v>
      </c>
      <c r="R37">
        <v>3.6000000000000019</v>
      </c>
    </row>
    <row r="38" spans="1:18" x14ac:dyDescent="0.3">
      <c r="A38">
        <v>0</v>
      </c>
      <c r="B38">
        <v>0</v>
      </c>
      <c r="C38">
        <v>3.700000000000002</v>
      </c>
      <c r="D38">
        <v>0.14999999999999902</v>
      </c>
      <c r="E38">
        <v>4.8500000000000014</v>
      </c>
      <c r="F38">
        <v>3.700000000000002</v>
      </c>
      <c r="G38">
        <v>0</v>
      </c>
      <c r="H38">
        <v>0</v>
      </c>
      <c r="I38">
        <v>3.700000000000002</v>
      </c>
      <c r="J38">
        <v>0.14999999999999902</v>
      </c>
      <c r="K38">
        <v>4.8500000000000014</v>
      </c>
      <c r="L38">
        <v>3.700000000000002</v>
      </c>
      <c r="M38">
        <v>0</v>
      </c>
      <c r="N38">
        <v>0</v>
      </c>
      <c r="O38">
        <v>3.700000000000002</v>
      </c>
      <c r="P38">
        <v>0.14999999999999902</v>
      </c>
      <c r="Q38">
        <v>4.8500000000000014</v>
      </c>
      <c r="R38">
        <v>3.700000000000002</v>
      </c>
    </row>
    <row r="39" spans="1:18" x14ac:dyDescent="0.3">
      <c r="A39">
        <v>0</v>
      </c>
      <c r="B39">
        <v>0</v>
      </c>
      <c r="C39">
        <v>3.800000000000002</v>
      </c>
      <c r="D39">
        <v>9.9999999999998979E-2</v>
      </c>
      <c r="E39">
        <v>4.9000000000000012</v>
      </c>
      <c r="F39">
        <v>3.800000000000002</v>
      </c>
      <c r="G39">
        <v>0</v>
      </c>
      <c r="H39">
        <v>0</v>
      </c>
      <c r="I39">
        <v>3.800000000000002</v>
      </c>
      <c r="J39">
        <v>9.9999999999998979E-2</v>
      </c>
      <c r="K39">
        <v>4.9000000000000012</v>
      </c>
      <c r="L39">
        <v>3.800000000000002</v>
      </c>
      <c r="M39">
        <v>0</v>
      </c>
      <c r="N39">
        <v>0</v>
      </c>
      <c r="O39">
        <v>3.800000000000002</v>
      </c>
      <c r="P39">
        <v>9.9999999999998979E-2</v>
      </c>
      <c r="Q39">
        <v>4.9000000000000012</v>
      </c>
      <c r="R39">
        <v>3.800000000000002</v>
      </c>
    </row>
    <row r="40" spans="1:18" x14ac:dyDescent="0.3">
      <c r="A40">
        <v>0</v>
      </c>
      <c r="B40">
        <v>0</v>
      </c>
      <c r="C40">
        <v>3.9000000000000021</v>
      </c>
      <c r="D40">
        <v>4.9999999999998934E-2</v>
      </c>
      <c r="E40">
        <v>4.9500000000000011</v>
      </c>
      <c r="F40">
        <v>3.9000000000000021</v>
      </c>
      <c r="G40">
        <v>0</v>
      </c>
      <c r="H40">
        <v>0</v>
      </c>
      <c r="I40">
        <v>3.9000000000000021</v>
      </c>
      <c r="J40">
        <v>4.9999999999998934E-2</v>
      </c>
      <c r="K40">
        <v>4.9500000000000011</v>
      </c>
      <c r="L40">
        <v>3.9000000000000021</v>
      </c>
      <c r="M40">
        <v>0</v>
      </c>
      <c r="N40">
        <v>0</v>
      </c>
      <c r="O40">
        <v>3.9000000000000021</v>
      </c>
      <c r="P40">
        <v>4.9999999999998934E-2</v>
      </c>
      <c r="Q40">
        <v>4.9500000000000011</v>
      </c>
      <c r="R40">
        <v>3.9000000000000021</v>
      </c>
    </row>
    <row r="41" spans="1:18" x14ac:dyDescent="0.3">
      <c r="A41">
        <v>8.8817841970012523E-16</v>
      </c>
      <c r="B41">
        <v>0</v>
      </c>
      <c r="C41">
        <v>4.0000000000000018</v>
      </c>
      <c r="D41">
        <v>0</v>
      </c>
      <c r="E41">
        <v>0</v>
      </c>
      <c r="F41">
        <v>4.0000000000000018</v>
      </c>
      <c r="G41">
        <v>8.8817841970012523E-16</v>
      </c>
      <c r="H41">
        <v>0</v>
      </c>
      <c r="I41">
        <v>4.0000000000000018</v>
      </c>
      <c r="J41">
        <v>0</v>
      </c>
      <c r="K41">
        <v>0</v>
      </c>
      <c r="L41">
        <v>4.0000000000000018</v>
      </c>
      <c r="M41">
        <v>8.8817841970012523E-16</v>
      </c>
      <c r="N41">
        <v>0</v>
      </c>
      <c r="O41">
        <v>4.0000000000000018</v>
      </c>
      <c r="P41">
        <v>0</v>
      </c>
      <c r="Q41">
        <v>0</v>
      </c>
      <c r="R41">
        <v>4.0000000000000018</v>
      </c>
    </row>
    <row r="42" spans="1:18" x14ac:dyDescent="0.3">
      <c r="A42">
        <v>5.0000000000000711E-2</v>
      </c>
      <c r="B42">
        <v>0</v>
      </c>
      <c r="C42">
        <v>4.1000000000000014</v>
      </c>
      <c r="D42">
        <v>0</v>
      </c>
      <c r="E42">
        <v>0</v>
      </c>
      <c r="F42">
        <v>4.1000000000000014</v>
      </c>
      <c r="G42">
        <v>5.0000000000000711E-2</v>
      </c>
      <c r="H42">
        <v>0</v>
      </c>
      <c r="I42">
        <v>4.1000000000000014</v>
      </c>
      <c r="J42">
        <v>0</v>
      </c>
      <c r="K42">
        <v>0</v>
      </c>
      <c r="L42">
        <v>4.1000000000000014</v>
      </c>
      <c r="M42">
        <v>5.0000000000000711E-2</v>
      </c>
      <c r="N42">
        <v>0</v>
      </c>
      <c r="O42">
        <v>4.1000000000000014</v>
      </c>
      <c r="P42">
        <v>0</v>
      </c>
      <c r="Q42">
        <v>0</v>
      </c>
      <c r="R42">
        <v>4.1000000000000014</v>
      </c>
    </row>
    <row r="43" spans="1:18" x14ac:dyDescent="0.3">
      <c r="A43">
        <v>0.10000000000000053</v>
      </c>
      <c r="B43">
        <v>0</v>
      </c>
      <c r="C43">
        <v>4.2000000000000011</v>
      </c>
      <c r="D43">
        <v>0</v>
      </c>
      <c r="E43">
        <v>0</v>
      </c>
      <c r="F43">
        <v>4.2000000000000011</v>
      </c>
      <c r="G43">
        <v>0.10000000000000053</v>
      </c>
      <c r="H43">
        <v>0</v>
      </c>
      <c r="I43">
        <v>4.2000000000000011</v>
      </c>
      <c r="J43">
        <v>0</v>
      </c>
      <c r="K43">
        <v>0</v>
      </c>
      <c r="L43">
        <v>4.2000000000000011</v>
      </c>
      <c r="M43">
        <v>0.10000000000000053</v>
      </c>
      <c r="N43">
        <v>0</v>
      </c>
      <c r="O43">
        <v>4.2000000000000011</v>
      </c>
      <c r="P43">
        <v>0</v>
      </c>
      <c r="Q43">
        <v>0</v>
      </c>
      <c r="R43">
        <v>4.2000000000000011</v>
      </c>
    </row>
    <row r="44" spans="1:18" x14ac:dyDescent="0.3">
      <c r="A44">
        <v>0.15000000000000036</v>
      </c>
      <c r="B44">
        <v>0</v>
      </c>
      <c r="C44">
        <v>4.3000000000000007</v>
      </c>
      <c r="D44">
        <v>0</v>
      </c>
      <c r="E44">
        <v>0</v>
      </c>
      <c r="F44">
        <v>4.3000000000000007</v>
      </c>
      <c r="G44">
        <v>0.15000000000000036</v>
      </c>
      <c r="H44">
        <v>0</v>
      </c>
      <c r="I44">
        <v>4.3000000000000007</v>
      </c>
      <c r="J44">
        <v>0</v>
      </c>
      <c r="K44">
        <v>0</v>
      </c>
      <c r="L44">
        <v>4.3000000000000007</v>
      </c>
      <c r="M44">
        <v>0.15000000000000036</v>
      </c>
      <c r="N44">
        <v>0</v>
      </c>
      <c r="O44">
        <v>4.3000000000000007</v>
      </c>
      <c r="P44">
        <v>0</v>
      </c>
      <c r="Q44">
        <v>0</v>
      </c>
      <c r="R44">
        <v>4.3000000000000007</v>
      </c>
    </row>
    <row r="45" spans="1:18" x14ac:dyDescent="0.3">
      <c r="A45">
        <v>0.20000000000000018</v>
      </c>
      <c r="B45">
        <v>0</v>
      </c>
      <c r="C45">
        <v>4.4000000000000004</v>
      </c>
      <c r="D45">
        <v>0</v>
      </c>
      <c r="E45">
        <v>0</v>
      </c>
      <c r="F45">
        <v>4.4000000000000004</v>
      </c>
      <c r="G45">
        <v>0.20000000000000018</v>
      </c>
      <c r="H45">
        <v>0</v>
      </c>
      <c r="I45">
        <v>4.4000000000000004</v>
      </c>
      <c r="J45">
        <v>0</v>
      </c>
      <c r="K45">
        <v>0</v>
      </c>
      <c r="L45">
        <v>4.4000000000000004</v>
      </c>
      <c r="M45">
        <v>0.20000000000000018</v>
      </c>
      <c r="N45">
        <v>0</v>
      </c>
      <c r="O45">
        <v>4.4000000000000004</v>
      </c>
      <c r="P45">
        <v>0</v>
      </c>
      <c r="Q45">
        <v>0</v>
      </c>
      <c r="R45">
        <v>4.4000000000000004</v>
      </c>
    </row>
    <row r="46" spans="1:18" x14ac:dyDescent="0.3">
      <c r="A46">
        <v>0.25</v>
      </c>
      <c r="B46">
        <v>0</v>
      </c>
      <c r="C46">
        <v>4.5</v>
      </c>
      <c r="D46">
        <v>0</v>
      </c>
      <c r="E46">
        <v>0</v>
      </c>
      <c r="F46">
        <v>4.5</v>
      </c>
      <c r="G46">
        <v>0.25</v>
      </c>
      <c r="H46">
        <v>0</v>
      </c>
      <c r="I46">
        <v>4.5</v>
      </c>
      <c r="J46">
        <v>0</v>
      </c>
      <c r="K46">
        <v>0</v>
      </c>
      <c r="L46">
        <v>4.5</v>
      </c>
      <c r="M46">
        <v>0.25</v>
      </c>
      <c r="N46">
        <v>0</v>
      </c>
      <c r="O46">
        <v>4.5</v>
      </c>
      <c r="P46">
        <v>0</v>
      </c>
      <c r="Q46">
        <v>0</v>
      </c>
      <c r="R46">
        <v>4.5</v>
      </c>
    </row>
    <row r="47" spans="1:18" x14ac:dyDescent="0.3">
      <c r="A47">
        <v>0.29999999999999982</v>
      </c>
      <c r="B47">
        <v>0</v>
      </c>
      <c r="C47">
        <v>4.5999999999999996</v>
      </c>
      <c r="D47">
        <v>0</v>
      </c>
      <c r="E47">
        <v>0</v>
      </c>
      <c r="F47">
        <v>4.5999999999999996</v>
      </c>
      <c r="G47">
        <v>0.29999999999999982</v>
      </c>
      <c r="H47">
        <v>0</v>
      </c>
      <c r="I47">
        <v>4.5999999999999996</v>
      </c>
      <c r="J47">
        <v>0</v>
      </c>
      <c r="K47">
        <v>0</v>
      </c>
      <c r="L47">
        <v>4.5999999999999996</v>
      </c>
      <c r="M47">
        <v>0.29999999999999982</v>
      </c>
      <c r="N47">
        <v>0</v>
      </c>
      <c r="O47">
        <v>4.5999999999999996</v>
      </c>
      <c r="P47">
        <v>0</v>
      </c>
      <c r="Q47">
        <v>0</v>
      </c>
      <c r="R47">
        <v>4.5999999999999996</v>
      </c>
    </row>
    <row r="48" spans="1:18" x14ac:dyDescent="0.3">
      <c r="A48">
        <v>0.34999999999999964</v>
      </c>
      <c r="B48">
        <v>0</v>
      </c>
      <c r="C48">
        <v>4.6999999999999993</v>
      </c>
      <c r="D48">
        <v>0</v>
      </c>
      <c r="E48">
        <v>0</v>
      </c>
      <c r="F48">
        <v>4.6999999999999993</v>
      </c>
      <c r="G48">
        <v>0.34999999999999964</v>
      </c>
      <c r="H48">
        <v>0</v>
      </c>
      <c r="I48">
        <v>4.6999999999999993</v>
      </c>
      <c r="J48">
        <v>0</v>
      </c>
      <c r="K48">
        <v>0</v>
      </c>
      <c r="L48">
        <v>4.6999999999999993</v>
      </c>
      <c r="M48">
        <v>0.34999999999999964</v>
      </c>
      <c r="N48">
        <v>0</v>
      </c>
      <c r="O48">
        <v>4.6999999999999993</v>
      </c>
      <c r="P48">
        <v>0</v>
      </c>
      <c r="Q48">
        <v>0</v>
      </c>
      <c r="R48">
        <v>4.6999999999999993</v>
      </c>
    </row>
    <row r="49" spans="1:18" x14ac:dyDescent="0.3">
      <c r="A49">
        <v>0.39999999999999947</v>
      </c>
      <c r="B49">
        <v>0</v>
      </c>
      <c r="C49">
        <v>4.7999999999999989</v>
      </c>
      <c r="D49">
        <v>0</v>
      </c>
      <c r="E49">
        <v>0</v>
      </c>
      <c r="F49">
        <v>4.7999999999999989</v>
      </c>
      <c r="G49">
        <v>0.39999999999999947</v>
      </c>
      <c r="H49">
        <v>0</v>
      </c>
      <c r="I49">
        <v>4.7999999999999989</v>
      </c>
      <c r="J49">
        <v>0</v>
      </c>
      <c r="K49">
        <v>0</v>
      </c>
      <c r="L49">
        <v>4.7999999999999989</v>
      </c>
      <c r="M49">
        <v>0.39999999999999947</v>
      </c>
      <c r="N49">
        <v>0</v>
      </c>
      <c r="O49">
        <v>4.7999999999999989</v>
      </c>
      <c r="P49">
        <v>0</v>
      </c>
      <c r="Q49">
        <v>0</v>
      </c>
      <c r="R49">
        <v>4.7999999999999989</v>
      </c>
    </row>
    <row r="50" spans="1:18" x14ac:dyDescent="0.3">
      <c r="A50">
        <v>0.44999999999999929</v>
      </c>
      <c r="B50">
        <v>0</v>
      </c>
      <c r="C50">
        <v>4.8999999999999986</v>
      </c>
      <c r="D50">
        <v>0</v>
      </c>
      <c r="E50">
        <v>0</v>
      </c>
      <c r="F50">
        <v>4.8999999999999986</v>
      </c>
      <c r="G50">
        <v>0.44999999999999929</v>
      </c>
      <c r="H50">
        <v>0</v>
      </c>
      <c r="I50">
        <v>4.8999999999999986</v>
      </c>
      <c r="J50">
        <v>0</v>
      </c>
      <c r="K50">
        <v>0</v>
      </c>
      <c r="L50">
        <v>4.8999999999999986</v>
      </c>
      <c r="M50">
        <v>0.44999999999999929</v>
      </c>
      <c r="N50">
        <v>0</v>
      </c>
      <c r="O50">
        <v>4.8999999999999986</v>
      </c>
      <c r="P50">
        <v>0</v>
      </c>
      <c r="Q50">
        <v>0</v>
      </c>
      <c r="R50">
        <v>4.8999999999999986</v>
      </c>
    </row>
    <row r="51" spans="1:18" x14ac:dyDescent="0.3">
      <c r="A51">
        <v>0.49999999999999911</v>
      </c>
      <c r="B51">
        <v>0</v>
      </c>
      <c r="C51">
        <v>4.9999999999999982</v>
      </c>
      <c r="D51">
        <v>0</v>
      </c>
      <c r="E51">
        <v>0</v>
      </c>
      <c r="F51">
        <v>4.9999999999999982</v>
      </c>
      <c r="G51">
        <v>0.49999999999999911</v>
      </c>
      <c r="H51">
        <v>0</v>
      </c>
      <c r="I51">
        <v>4.9999999999999982</v>
      </c>
      <c r="J51">
        <v>0</v>
      </c>
      <c r="K51">
        <v>0</v>
      </c>
      <c r="L51">
        <v>4.9999999999999982</v>
      </c>
      <c r="M51">
        <v>0.49999999999999911</v>
      </c>
      <c r="N51">
        <v>0</v>
      </c>
      <c r="O51">
        <v>4.9999999999999982</v>
      </c>
      <c r="P51">
        <v>0</v>
      </c>
      <c r="Q51">
        <v>0</v>
      </c>
      <c r="R51">
        <v>4.9999999999999982</v>
      </c>
    </row>
    <row r="52" spans="1:18" x14ac:dyDescent="0.3">
      <c r="A52">
        <v>0.54999999999999893</v>
      </c>
      <c r="B52">
        <v>0</v>
      </c>
      <c r="C52">
        <v>5.0999999999999979</v>
      </c>
      <c r="D52">
        <v>0</v>
      </c>
      <c r="E52">
        <v>0</v>
      </c>
      <c r="F52">
        <v>5.0999999999999979</v>
      </c>
      <c r="G52">
        <v>0.54999999999999893</v>
      </c>
      <c r="H52">
        <v>0</v>
      </c>
      <c r="I52">
        <v>5.0999999999999979</v>
      </c>
      <c r="J52">
        <v>0</v>
      </c>
      <c r="K52">
        <v>0</v>
      </c>
      <c r="L52">
        <v>5.0999999999999979</v>
      </c>
      <c r="M52">
        <v>0.54999999999999893</v>
      </c>
      <c r="N52">
        <v>0</v>
      </c>
      <c r="O52">
        <v>5.0999999999999979</v>
      </c>
      <c r="P52">
        <v>0</v>
      </c>
      <c r="Q52">
        <v>0</v>
      </c>
      <c r="R52">
        <v>5.0999999999999979</v>
      </c>
    </row>
    <row r="53" spans="1:18" x14ac:dyDescent="0.3">
      <c r="A53">
        <v>0.59999999999999876</v>
      </c>
      <c r="B53">
        <v>0</v>
      </c>
      <c r="C53">
        <v>5.1999999999999975</v>
      </c>
      <c r="D53">
        <v>0</v>
      </c>
      <c r="E53">
        <v>0</v>
      </c>
      <c r="F53">
        <v>5.1999999999999975</v>
      </c>
      <c r="G53">
        <v>0.59999999999999876</v>
      </c>
      <c r="H53">
        <v>0</v>
      </c>
      <c r="I53">
        <v>5.1999999999999975</v>
      </c>
      <c r="J53">
        <v>0</v>
      </c>
      <c r="K53">
        <v>0</v>
      </c>
      <c r="L53">
        <v>5.1999999999999975</v>
      </c>
      <c r="M53">
        <v>0.59999999999999876</v>
      </c>
      <c r="N53">
        <v>0</v>
      </c>
      <c r="O53">
        <v>5.1999999999999975</v>
      </c>
      <c r="P53">
        <v>0</v>
      </c>
      <c r="Q53">
        <v>0</v>
      </c>
      <c r="R53">
        <v>5.1999999999999975</v>
      </c>
    </row>
    <row r="54" spans="1:18" x14ac:dyDescent="0.3">
      <c r="A54">
        <v>0.64999999999999858</v>
      </c>
      <c r="B54">
        <v>0</v>
      </c>
      <c r="C54">
        <v>5.2999999999999972</v>
      </c>
      <c r="D54">
        <v>0</v>
      </c>
      <c r="E54">
        <v>0</v>
      </c>
      <c r="F54">
        <v>5.2999999999999972</v>
      </c>
      <c r="G54">
        <v>0.64999999999999858</v>
      </c>
      <c r="H54">
        <v>0</v>
      </c>
      <c r="I54">
        <v>5.2999999999999972</v>
      </c>
      <c r="J54">
        <v>0</v>
      </c>
      <c r="K54">
        <v>0</v>
      </c>
      <c r="L54">
        <v>5.2999999999999972</v>
      </c>
      <c r="M54">
        <v>0.64999999999999858</v>
      </c>
      <c r="N54">
        <v>0</v>
      </c>
      <c r="O54">
        <v>5.2999999999999972</v>
      </c>
      <c r="P54">
        <v>0</v>
      </c>
      <c r="Q54">
        <v>0</v>
      </c>
      <c r="R54">
        <v>5.2999999999999972</v>
      </c>
    </row>
    <row r="55" spans="1:18" x14ac:dyDescent="0.3">
      <c r="A55">
        <v>0.6999999999999984</v>
      </c>
      <c r="B55">
        <v>0</v>
      </c>
      <c r="C55">
        <v>5.3999999999999968</v>
      </c>
      <c r="D55">
        <v>0</v>
      </c>
      <c r="E55">
        <v>0</v>
      </c>
      <c r="F55">
        <v>5.3999999999999968</v>
      </c>
      <c r="G55">
        <v>0.6999999999999984</v>
      </c>
      <c r="H55">
        <v>0</v>
      </c>
      <c r="I55">
        <v>5.3999999999999968</v>
      </c>
      <c r="J55">
        <v>0</v>
      </c>
      <c r="K55">
        <v>0</v>
      </c>
      <c r="L55">
        <v>5.3999999999999968</v>
      </c>
      <c r="M55">
        <v>0.6999999999999984</v>
      </c>
      <c r="N55">
        <v>0</v>
      </c>
      <c r="O55">
        <v>5.3999999999999968</v>
      </c>
      <c r="P55">
        <v>0</v>
      </c>
      <c r="Q55">
        <v>0</v>
      </c>
      <c r="R55">
        <v>5.3999999999999968</v>
      </c>
    </row>
    <row r="56" spans="1:18" x14ac:dyDescent="0.3">
      <c r="A56">
        <v>0.74999999999999822</v>
      </c>
      <c r="B56">
        <v>0</v>
      </c>
      <c r="C56">
        <v>5.4999999999999964</v>
      </c>
      <c r="D56">
        <v>0</v>
      </c>
      <c r="E56">
        <v>0</v>
      </c>
      <c r="F56">
        <v>5.4999999999999964</v>
      </c>
      <c r="G56">
        <v>0.74999999999999822</v>
      </c>
      <c r="H56">
        <v>0</v>
      </c>
      <c r="I56">
        <v>5.4999999999999964</v>
      </c>
      <c r="J56">
        <v>0</v>
      </c>
      <c r="K56">
        <v>0</v>
      </c>
      <c r="L56">
        <v>5.4999999999999964</v>
      </c>
      <c r="M56">
        <v>0.74999999999999822</v>
      </c>
      <c r="N56">
        <v>0</v>
      </c>
      <c r="O56">
        <v>5.4999999999999964</v>
      </c>
      <c r="P56">
        <v>0</v>
      </c>
      <c r="Q56">
        <v>0</v>
      </c>
      <c r="R56">
        <v>5.4999999999999964</v>
      </c>
    </row>
    <row r="57" spans="1:18" x14ac:dyDescent="0.3">
      <c r="A57">
        <v>0.79999999999999805</v>
      </c>
      <c r="B57">
        <v>0</v>
      </c>
      <c r="C57">
        <v>5.5999999999999961</v>
      </c>
      <c r="D57">
        <v>0</v>
      </c>
      <c r="E57">
        <v>0</v>
      </c>
      <c r="F57">
        <v>5.5999999999999961</v>
      </c>
      <c r="G57">
        <v>0.79999999999999805</v>
      </c>
      <c r="H57">
        <v>0</v>
      </c>
      <c r="I57">
        <v>5.5999999999999961</v>
      </c>
      <c r="J57">
        <v>0</v>
      </c>
      <c r="K57">
        <v>0</v>
      </c>
      <c r="L57">
        <v>5.5999999999999961</v>
      </c>
      <c r="M57">
        <v>0.79999999999999805</v>
      </c>
      <c r="N57">
        <v>0</v>
      </c>
      <c r="O57">
        <v>5.5999999999999961</v>
      </c>
      <c r="P57">
        <v>0</v>
      </c>
      <c r="Q57">
        <v>0</v>
      </c>
      <c r="R57">
        <v>5.5999999999999961</v>
      </c>
    </row>
    <row r="58" spans="1:18" x14ac:dyDescent="0.3">
      <c r="A58">
        <v>0.84999999999999787</v>
      </c>
      <c r="B58">
        <v>0</v>
      </c>
      <c r="C58">
        <v>5.6999999999999957</v>
      </c>
      <c r="D58">
        <v>0</v>
      </c>
      <c r="E58">
        <v>0</v>
      </c>
      <c r="F58">
        <v>5.6999999999999957</v>
      </c>
      <c r="G58">
        <v>0.84999999999999787</v>
      </c>
      <c r="H58">
        <v>0</v>
      </c>
      <c r="I58">
        <v>5.6999999999999957</v>
      </c>
      <c r="J58">
        <v>0</v>
      </c>
      <c r="K58">
        <v>0</v>
      </c>
      <c r="L58">
        <v>5.6999999999999957</v>
      </c>
      <c r="M58">
        <v>0.84999999999999787</v>
      </c>
      <c r="N58">
        <v>0</v>
      </c>
      <c r="O58">
        <v>5.6999999999999957</v>
      </c>
      <c r="P58">
        <v>0</v>
      </c>
      <c r="Q58">
        <v>0</v>
      </c>
      <c r="R58">
        <v>5.6999999999999957</v>
      </c>
    </row>
    <row r="59" spans="1:18" x14ac:dyDescent="0.3">
      <c r="A59">
        <v>0.89999999999999769</v>
      </c>
      <c r="B59">
        <v>0</v>
      </c>
      <c r="C59">
        <v>5.7999999999999954</v>
      </c>
      <c r="D59">
        <v>0</v>
      </c>
      <c r="E59">
        <v>0</v>
      </c>
      <c r="F59">
        <v>5.7999999999999954</v>
      </c>
      <c r="G59">
        <v>0.89999999999999769</v>
      </c>
      <c r="H59">
        <v>0</v>
      </c>
      <c r="I59">
        <v>5.7999999999999954</v>
      </c>
      <c r="J59">
        <v>0</v>
      </c>
      <c r="K59">
        <v>0</v>
      </c>
      <c r="L59">
        <v>5.7999999999999954</v>
      </c>
      <c r="M59">
        <v>0.89999999999999769</v>
      </c>
      <c r="N59">
        <v>0</v>
      </c>
      <c r="O59">
        <v>5.7999999999999954</v>
      </c>
      <c r="P59">
        <v>0</v>
      </c>
      <c r="Q59">
        <v>0</v>
      </c>
      <c r="R59">
        <v>5.7999999999999954</v>
      </c>
    </row>
    <row r="60" spans="1:18" x14ac:dyDescent="0.3">
      <c r="A60">
        <v>0.94999999999999751</v>
      </c>
      <c r="B60">
        <v>0</v>
      </c>
      <c r="C60">
        <v>5.899999999999995</v>
      </c>
      <c r="D60">
        <v>0</v>
      </c>
      <c r="E60">
        <v>0</v>
      </c>
      <c r="F60">
        <v>5.899999999999995</v>
      </c>
      <c r="G60">
        <v>0.94999999999999751</v>
      </c>
      <c r="H60">
        <v>0</v>
      </c>
      <c r="I60">
        <v>5.899999999999995</v>
      </c>
      <c r="J60">
        <v>0</v>
      </c>
      <c r="K60">
        <v>0</v>
      </c>
      <c r="L60">
        <v>5.899999999999995</v>
      </c>
      <c r="M60">
        <v>0.94999999999999751</v>
      </c>
      <c r="N60">
        <v>0</v>
      </c>
      <c r="O60">
        <v>5.899999999999995</v>
      </c>
      <c r="P60">
        <v>0</v>
      </c>
      <c r="Q60">
        <v>0</v>
      </c>
      <c r="R60">
        <v>5.899999999999995</v>
      </c>
    </row>
    <row r="61" spans="1:18" x14ac:dyDescent="0.3">
      <c r="A61">
        <v>0.99999999999999734</v>
      </c>
      <c r="B61">
        <v>0</v>
      </c>
      <c r="C61">
        <v>5.9999999999999947</v>
      </c>
      <c r="D61">
        <v>0</v>
      </c>
      <c r="E61">
        <v>0</v>
      </c>
      <c r="F61">
        <v>5.9999999999999947</v>
      </c>
      <c r="G61">
        <v>0.99999999999999734</v>
      </c>
      <c r="H61">
        <v>0</v>
      </c>
      <c r="I61">
        <v>5.9999999999999947</v>
      </c>
      <c r="J61">
        <v>0</v>
      </c>
      <c r="K61">
        <v>0</v>
      </c>
      <c r="L61">
        <v>5.9999999999999947</v>
      </c>
      <c r="M61">
        <v>0.99999999999999734</v>
      </c>
      <c r="N61">
        <v>0</v>
      </c>
      <c r="O61">
        <v>5.9999999999999947</v>
      </c>
      <c r="P61">
        <v>0</v>
      </c>
      <c r="Q61">
        <v>0</v>
      </c>
      <c r="R61">
        <v>5.9999999999999947</v>
      </c>
    </row>
    <row r="62" spans="1:18" x14ac:dyDescent="0.3">
      <c r="A62">
        <v>0.95000000000000284</v>
      </c>
      <c r="B62">
        <v>8.0499999999999972</v>
      </c>
      <c r="C62">
        <v>6.0999999999999943</v>
      </c>
      <c r="D62">
        <v>0</v>
      </c>
      <c r="E62">
        <v>0</v>
      </c>
      <c r="F62">
        <v>6.0999999999999943</v>
      </c>
      <c r="G62">
        <v>0.95000000000000284</v>
      </c>
      <c r="H62">
        <v>8.0499999999999972</v>
      </c>
      <c r="I62">
        <v>6.0999999999999943</v>
      </c>
      <c r="J62">
        <v>0</v>
      </c>
      <c r="K62">
        <v>0</v>
      </c>
      <c r="L62">
        <v>6.0999999999999943</v>
      </c>
      <c r="M62">
        <v>0.95000000000000284</v>
      </c>
      <c r="N62">
        <v>8.0499999999999972</v>
      </c>
      <c r="O62">
        <v>6.0999999999999943</v>
      </c>
      <c r="P62">
        <v>0</v>
      </c>
      <c r="Q62">
        <v>0</v>
      </c>
      <c r="R62">
        <v>6.0999999999999943</v>
      </c>
    </row>
    <row r="63" spans="1:18" x14ac:dyDescent="0.3">
      <c r="A63">
        <v>0.90000000000000302</v>
      </c>
      <c r="B63">
        <v>8.0999999999999979</v>
      </c>
      <c r="C63">
        <v>6.199999999999994</v>
      </c>
      <c r="D63">
        <v>0</v>
      </c>
      <c r="E63">
        <v>0</v>
      </c>
      <c r="F63">
        <v>6.199999999999994</v>
      </c>
      <c r="G63">
        <v>0.90000000000000302</v>
      </c>
      <c r="H63">
        <v>8.0999999999999979</v>
      </c>
      <c r="I63">
        <v>6.199999999999994</v>
      </c>
      <c r="J63">
        <v>0</v>
      </c>
      <c r="K63">
        <v>0</v>
      </c>
      <c r="L63">
        <v>6.199999999999994</v>
      </c>
      <c r="M63">
        <v>0.90000000000000302</v>
      </c>
      <c r="N63">
        <v>8.0999999999999979</v>
      </c>
      <c r="O63">
        <v>6.199999999999994</v>
      </c>
      <c r="P63">
        <v>0</v>
      </c>
      <c r="Q63">
        <v>0</v>
      </c>
      <c r="R63">
        <v>6.199999999999994</v>
      </c>
    </row>
    <row r="64" spans="1:18" x14ac:dyDescent="0.3">
      <c r="A64">
        <v>0.8500000000000032</v>
      </c>
      <c r="B64">
        <v>8.1499999999999968</v>
      </c>
      <c r="C64">
        <v>6.2999999999999936</v>
      </c>
      <c r="D64">
        <v>0</v>
      </c>
      <c r="E64">
        <v>0</v>
      </c>
      <c r="F64">
        <v>6.2999999999999936</v>
      </c>
      <c r="G64">
        <v>0.8500000000000032</v>
      </c>
      <c r="H64">
        <v>8.1499999999999968</v>
      </c>
      <c r="I64">
        <v>6.2999999999999936</v>
      </c>
      <c r="J64">
        <v>0</v>
      </c>
      <c r="K64">
        <v>0</v>
      </c>
      <c r="L64">
        <v>6.2999999999999936</v>
      </c>
      <c r="M64">
        <v>0.8500000000000032</v>
      </c>
      <c r="N64">
        <v>8.1499999999999968</v>
      </c>
      <c r="O64">
        <v>6.2999999999999936</v>
      </c>
      <c r="P64">
        <v>0</v>
      </c>
      <c r="Q64">
        <v>0</v>
      </c>
      <c r="R64">
        <v>6.2999999999999936</v>
      </c>
    </row>
    <row r="65" spans="1:18" x14ac:dyDescent="0.3">
      <c r="A65">
        <v>0.80000000000000338</v>
      </c>
      <c r="B65">
        <v>8.1999999999999957</v>
      </c>
      <c r="C65">
        <v>6.3999999999999932</v>
      </c>
      <c r="D65">
        <v>0</v>
      </c>
      <c r="E65">
        <v>0</v>
      </c>
      <c r="F65">
        <v>6.3999999999999932</v>
      </c>
      <c r="G65">
        <v>0.80000000000000338</v>
      </c>
      <c r="H65">
        <v>8.1999999999999957</v>
      </c>
      <c r="I65">
        <v>6.3999999999999932</v>
      </c>
      <c r="J65">
        <v>0</v>
      </c>
      <c r="K65">
        <v>0</v>
      </c>
      <c r="L65">
        <v>6.3999999999999932</v>
      </c>
      <c r="M65">
        <v>0.80000000000000338</v>
      </c>
      <c r="N65">
        <v>8.1999999999999957</v>
      </c>
      <c r="O65">
        <v>6.3999999999999932</v>
      </c>
      <c r="P65">
        <v>0</v>
      </c>
      <c r="Q65">
        <v>0</v>
      </c>
      <c r="R65">
        <v>6.3999999999999932</v>
      </c>
    </row>
    <row r="66" spans="1:18" x14ac:dyDescent="0.3">
      <c r="A66">
        <v>0.75000000000000355</v>
      </c>
      <c r="B66">
        <v>8.2499999999999964</v>
      </c>
      <c r="C66">
        <v>6.4999999999999929</v>
      </c>
      <c r="D66">
        <v>0</v>
      </c>
      <c r="E66">
        <v>0</v>
      </c>
      <c r="F66">
        <v>6.4999999999999929</v>
      </c>
      <c r="G66">
        <v>0.75000000000000355</v>
      </c>
      <c r="H66">
        <v>8.2499999999999964</v>
      </c>
      <c r="I66">
        <v>6.4999999999999929</v>
      </c>
      <c r="J66">
        <v>0</v>
      </c>
      <c r="K66">
        <v>0</v>
      </c>
      <c r="L66">
        <v>6.4999999999999929</v>
      </c>
      <c r="M66">
        <v>0.75000000000000355</v>
      </c>
      <c r="N66">
        <v>8.2499999999999964</v>
      </c>
      <c r="O66">
        <v>6.4999999999999929</v>
      </c>
      <c r="P66">
        <v>0</v>
      </c>
      <c r="Q66">
        <v>0</v>
      </c>
      <c r="R66">
        <v>6.4999999999999929</v>
      </c>
    </row>
    <row r="67" spans="1:18" x14ac:dyDescent="0.3">
      <c r="A67">
        <v>0.70000000000000373</v>
      </c>
      <c r="B67">
        <v>8.2999999999999972</v>
      </c>
      <c r="C67">
        <v>6.5999999999999925</v>
      </c>
      <c r="D67">
        <v>0</v>
      </c>
      <c r="E67">
        <v>0</v>
      </c>
      <c r="F67">
        <v>6.5999999999999925</v>
      </c>
      <c r="G67">
        <v>0.70000000000000373</v>
      </c>
      <c r="H67">
        <v>8.2999999999999972</v>
      </c>
      <c r="I67">
        <v>6.5999999999999925</v>
      </c>
      <c r="J67">
        <v>0</v>
      </c>
      <c r="K67">
        <v>0</v>
      </c>
      <c r="L67">
        <v>6.5999999999999925</v>
      </c>
      <c r="M67">
        <v>0.70000000000000373</v>
      </c>
      <c r="N67">
        <v>8.2999999999999972</v>
      </c>
      <c r="O67">
        <v>6.5999999999999925</v>
      </c>
      <c r="P67">
        <v>0</v>
      </c>
      <c r="Q67">
        <v>0</v>
      </c>
      <c r="R67">
        <v>6.5999999999999925</v>
      </c>
    </row>
    <row r="68" spans="1:18" x14ac:dyDescent="0.3">
      <c r="A68">
        <v>0.65000000000000391</v>
      </c>
      <c r="B68">
        <v>8.3499999999999961</v>
      </c>
      <c r="C68">
        <v>6.6999999999999922</v>
      </c>
      <c r="D68">
        <v>0</v>
      </c>
      <c r="E68">
        <v>0</v>
      </c>
      <c r="F68">
        <v>6.6999999999999922</v>
      </c>
      <c r="G68">
        <v>0.65000000000000391</v>
      </c>
      <c r="H68">
        <v>8.3499999999999961</v>
      </c>
      <c r="I68">
        <v>6.6999999999999922</v>
      </c>
      <c r="J68">
        <v>0</v>
      </c>
      <c r="K68">
        <v>0</v>
      </c>
      <c r="L68">
        <v>6.6999999999999922</v>
      </c>
      <c r="M68">
        <v>0.65000000000000391</v>
      </c>
      <c r="N68">
        <v>8.3499999999999961</v>
      </c>
      <c r="O68">
        <v>6.6999999999999922</v>
      </c>
      <c r="P68">
        <v>0</v>
      </c>
      <c r="Q68">
        <v>0</v>
      </c>
      <c r="R68">
        <v>6.6999999999999922</v>
      </c>
    </row>
    <row r="69" spans="1:18" x14ac:dyDescent="0.3">
      <c r="A69">
        <v>0.60000000000000409</v>
      </c>
      <c r="B69">
        <v>8.399999999999995</v>
      </c>
      <c r="C69">
        <v>6.7999999999999918</v>
      </c>
      <c r="D69">
        <v>0</v>
      </c>
      <c r="E69">
        <v>0</v>
      </c>
      <c r="F69">
        <v>6.7999999999999918</v>
      </c>
      <c r="G69">
        <v>0.60000000000000409</v>
      </c>
      <c r="H69">
        <v>8.399999999999995</v>
      </c>
      <c r="I69">
        <v>6.7999999999999918</v>
      </c>
      <c r="J69">
        <v>0</v>
      </c>
      <c r="K69">
        <v>0</v>
      </c>
      <c r="L69">
        <v>6.7999999999999918</v>
      </c>
      <c r="M69">
        <v>0.60000000000000409</v>
      </c>
      <c r="N69">
        <v>8.399999999999995</v>
      </c>
      <c r="O69">
        <v>6.7999999999999918</v>
      </c>
      <c r="P69">
        <v>0</v>
      </c>
      <c r="Q69">
        <v>0</v>
      </c>
      <c r="R69">
        <v>6.7999999999999918</v>
      </c>
    </row>
    <row r="70" spans="1:18" x14ac:dyDescent="0.3">
      <c r="A70">
        <v>0.55000000000000426</v>
      </c>
      <c r="B70">
        <v>8.4499999999999957</v>
      </c>
      <c r="C70">
        <v>6.8999999999999915</v>
      </c>
      <c r="D70">
        <v>0</v>
      </c>
      <c r="E70">
        <v>0</v>
      </c>
      <c r="F70">
        <v>6.8999999999999915</v>
      </c>
      <c r="G70">
        <v>0.55000000000000426</v>
      </c>
      <c r="H70">
        <v>8.4499999999999957</v>
      </c>
      <c r="I70">
        <v>6.8999999999999915</v>
      </c>
      <c r="J70">
        <v>0</v>
      </c>
      <c r="K70">
        <v>0</v>
      </c>
      <c r="L70">
        <v>6.8999999999999915</v>
      </c>
      <c r="M70">
        <v>0.55000000000000426</v>
      </c>
      <c r="N70">
        <v>8.4499999999999957</v>
      </c>
      <c r="O70">
        <v>6.8999999999999915</v>
      </c>
      <c r="P70">
        <v>0</v>
      </c>
      <c r="Q70">
        <v>0</v>
      </c>
      <c r="R70">
        <v>6.8999999999999915</v>
      </c>
    </row>
    <row r="71" spans="1:18" x14ac:dyDescent="0.3">
      <c r="A71">
        <v>0.50000000000000444</v>
      </c>
      <c r="B71">
        <v>8.4999999999999964</v>
      </c>
      <c r="C71">
        <v>6.9999999999999911</v>
      </c>
      <c r="D71">
        <v>0</v>
      </c>
      <c r="E71">
        <v>0</v>
      </c>
      <c r="F71">
        <v>6.9999999999999911</v>
      </c>
      <c r="G71">
        <v>0.50000000000000444</v>
      </c>
      <c r="H71">
        <v>8.4999999999999964</v>
      </c>
      <c r="I71">
        <v>6.9999999999999911</v>
      </c>
      <c r="J71">
        <v>0</v>
      </c>
      <c r="K71">
        <v>0</v>
      </c>
      <c r="L71">
        <v>6.9999999999999911</v>
      </c>
      <c r="M71">
        <v>0.50000000000000444</v>
      </c>
      <c r="N71">
        <v>8.4999999999999964</v>
      </c>
      <c r="O71">
        <v>6.9999999999999911</v>
      </c>
      <c r="P71">
        <v>0</v>
      </c>
      <c r="Q71">
        <v>0</v>
      </c>
      <c r="R71">
        <v>6.9999999999999911</v>
      </c>
    </row>
    <row r="72" spans="1:18" x14ac:dyDescent="0.3">
      <c r="A72">
        <v>0.45000000000000462</v>
      </c>
      <c r="B72">
        <v>8.5499999999999954</v>
      </c>
      <c r="C72">
        <v>7.0999999999999908</v>
      </c>
      <c r="D72">
        <v>0</v>
      </c>
      <c r="E72">
        <v>0</v>
      </c>
      <c r="F72">
        <v>7.0999999999999908</v>
      </c>
      <c r="G72">
        <v>0.45000000000000462</v>
      </c>
      <c r="H72">
        <v>8.5499999999999954</v>
      </c>
      <c r="I72">
        <v>7.0999999999999908</v>
      </c>
      <c r="J72">
        <v>0</v>
      </c>
      <c r="K72">
        <v>0</v>
      </c>
      <c r="L72">
        <v>7.0999999999999908</v>
      </c>
      <c r="M72">
        <v>0.45000000000000462</v>
      </c>
      <c r="N72">
        <v>8.5499999999999954</v>
      </c>
      <c r="O72">
        <v>7.0999999999999908</v>
      </c>
      <c r="P72">
        <v>0</v>
      </c>
      <c r="Q72">
        <v>0</v>
      </c>
      <c r="R72">
        <v>7.0999999999999908</v>
      </c>
    </row>
    <row r="73" spans="1:18" x14ac:dyDescent="0.3">
      <c r="A73">
        <v>0.4000000000000048</v>
      </c>
      <c r="B73">
        <v>8.5999999999999943</v>
      </c>
      <c r="C73">
        <v>7.1999999999999904</v>
      </c>
      <c r="D73">
        <v>0</v>
      </c>
      <c r="E73">
        <v>0</v>
      </c>
      <c r="F73">
        <v>7.1999999999999904</v>
      </c>
      <c r="G73">
        <v>0.4000000000000048</v>
      </c>
      <c r="H73">
        <v>8.5999999999999943</v>
      </c>
      <c r="I73">
        <v>7.1999999999999904</v>
      </c>
      <c r="J73">
        <v>0</v>
      </c>
      <c r="K73">
        <v>0</v>
      </c>
      <c r="L73">
        <v>7.1999999999999904</v>
      </c>
      <c r="M73">
        <v>0.4000000000000048</v>
      </c>
      <c r="N73">
        <v>8.5999999999999943</v>
      </c>
      <c r="O73">
        <v>7.1999999999999904</v>
      </c>
      <c r="P73">
        <v>0</v>
      </c>
      <c r="Q73">
        <v>0</v>
      </c>
      <c r="R73">
        <v>7.1999999999999904</v>
      </c>
    </row>
    <row r="74" spans="1:18" x14ac:dyDescent="0.3">
      <c r="A74">
        <v>0.35000000000000497</v>
      </c>
      <c r="B74">
        <v>8.649999999999995</v>
      </c>
      <c r="C74">
        <v>7.2999999999999901</v>
      </c>
      <c r="D74">
        <v>0</v>
      </c>
      <c r="E74">
        <v>0</v>
      </c>
      <c r="F74">
        <v>7.2999999999999901</v>
      </c>
      <c r="G74">
        <v>0.35000000000000497</v>
      </c>
      <c r="H74">
        <v>8.649999999999995</v>
      </c>
      <c r="I74">
        <v>7.2999999999999901</v>
      </c>
      <c r="J74">
        <v>0</v>
      </c>
      <c r="K74">
        <v>0</v>
      </c>
      <c r="L74">
        <v>7.2999999999999901</v>
      </c>
      <c r="M74">
        <v>0.35000000000000497</v>
      </c>
      <c r="N74">
        <v>8.649999999999995</v>
      </c>
      <c r="O74">
        <v>7.2999999999999901</v>
      </c>
      <c r="P74">
        <v>0</v>
      </c>
      <c r="Q74">
        <v>0</v>
      </c>
      <c r="R74">
        <v>7.2999999999999901</v>
      </c>
    </row>
    <row r="75" spans="1:18" x14ac:dyDescent="0.3">
      <c r="A75">
        <v>0.30000000000000515</v>
      </c>
      <c r="B75">
        <v>8.6999999999999957</v>
      </c>
      <c r="C75">
        <v>7.3999999999999897</v>
      </c>
      <c r="D75">
        <v>0</v>
      </c>
      <c r="E75">
        <v>0</v>
      </c>
      <c r="F75">
        <v>7.3999999999999897</v>
      </c>
      <c r="G75">
        <v>0.30000000000000515</v>
      </c>
      <c r="H75">
        <v>8.6999999999999957</v>
      </c>
      <c r="I75">
        <v>7.3999999999999897</v>
      </c>
      <c r="J75">
        <v>0</v>
      </c>
      <c r="K75">
        <v>0</v>
      </c>
      <c r="L75">
        <v>7.3999999999999897</v>
      </c>
      <c r="M75">
        <v>0.30000000000000515</v>
      </c>
      <c r="N75">
        <v>8.6999999999999957</v>
      </c>
      <c r="O75">
        <v>7.3999999999999897</v>
      </c>
      <c r="P75">
        <v>0</v>
      </c>
      <c r="Q75">
        <v>0</v>
      </c>
      <c r="R75">
        <v>7.3999999999999897</v>
      </c>
    </row>
    <row r="76" spans="1:18" x14ac:dyDescent="0.3">
      <c r="A76">
        <v>0.25000000000000533</v>
      </c>
      <c r="B76">
        <v>8.7499999999999947</v>
      </c>
      <c r="C76">
        <v>7.4999999999999893</v>
      </c>
      <c r="D76">
        <v>0</v>
      </c>
      <c r="E76">
        <v>0</v>
      </c>
      <c r="F76">
        <v>7.4999999999999893</v>
      </c>
      <c r="G76">
        <v>0.25000000000000533</v>
      </c>
      <c r="H76">
        <v>8.7499999999999947</v>
      </c>
      <c r="I76">
        <v>7.4999999999999893</v>
      </c>
      <c r="J76">
        <v>0</v>
      </c>
      <c r="K76">
        <v>0</v>
      </c>
      <c r="L76">
        <v>7.4999999999999893</v>
      </c>
      <c r="M76">
        <v>0.25000000000000533</v>
      </c>
      <c r="N76">
        <v>8.7499999999999947</v>
      </c>
      <c r="O76">
        <v>7.4999999999999893</v>
      </c>
      <c r="P76">
        <v>0</v>
      </c>
      <c r="Q76">
        <v>0</v>
      </c>
      <c r="R76">
        <v>7.4999999999999893</v>
      </c>
    </row>
    <row r="77" spans="1:18" x14ac:dyDescent="0.3">
      <c r="A77">
        <v>0.20000000000000551</v>
      </c>
      <c r="B77">
        <v>8.7999999999999936</v>
      </c>
      <c r="C77">
        <v>7.599999999999989</v>
      </c>
      <c r="D77">
        <v>0</v>
      </c>
      <c r="E77">
        <v>0</v>
      </c>
      <c r="F77">
        <v>7.599999999999989</v>
      </c>
      <c r="G77">
        <v>0.20000000000000551</v>
      </c>
      <c r="H77">
        <v>8.7999999999999936</v>
      </c>
      <c r="I77">
        <v>7.599999999999989</v>
      </c>
      <c r="J77">
        <v>0</v>
      </c>
      <c r="K77">
        <v>0</v>
      </c>
      <c r="L77">
        <v>7.599999999999989</v>
      </c>
      <c r="M77">
        <v>0.20000000000000551</v>
      </c>
      <c r="N77">
        <v>8.7999999999999936</v>
      </c>
      <c r="O77">
        <v>7.599999999999989</v>
      </c>
      <c r="P77">
        <v>0</v>
      </c>
      <c r="Q77">
        <v>0</v>
      </c>
      <c r="R77">
        <v>7.599999999999989</v>
      </c>
    </row>
    <row r="78" spans="1:18" x14ac:dyDescent="0.3">
      <c r="A78">
        <v>0.15000000000000568</v>
      </c>
      <c r="B78">
        <v>8.8499999999999943</v>
      </c>
      <c r="C78">
        <v>7.6999999999999886</v>
      </c>
      <c r="D78">
        <v>0</v>
      </c>
      <c r="E78">
        <v>0</v>
      </c>
      <c r="F78">
        <v>7.6999999999999886</v>
      </c>
      <c r="G78">
        <v>0.15000000000000568</v>
      </c>
      <c r="H78">
        <v>8.8499999999999943</v>
      </c>
      <c r="I78">
        <v>7.6999999999999886</v>
      </c>
      <c r="J78">
        <v>0</v>
      </c>
      <c r="K78">
        <v>0</v>
      </c>
      <c r="L78">
        <v>7.6999999999999886</v>
      </c>
      <c r="M78">
        <v>0.15000000000000568</v>
      </c>
      <c r="N78">
        <v>8.8499999999999943</v>
      </c>
      <c r="O78">
        <v>7.6999999999999886</v>
      </c>
      <c r="P78">
        <v>0</v>
      </c>
      <c r="Q78">
        <v>0</v>
      </c>
      <c r="R78">
        <v>7.6999999999999886</v>
      </c>
    </row>
    <row r="79" spans="1:18" x14ac:dyDescent="0.3">
      <c r="A79">
        <v>0.10000000000000586</v>
      </c>
      <c r="B79">
        <v>8.899999999999995</v>
      </c>
      <c r="C79">
        <v>7.7999999999999883</v>
      </c>
      <c r="D79">
        <v>0</v>
      </c>
      <c r="E79">
        <v>0</v>
      </c>
      <c r="F79">
        <v>7.7999999999999883</v>
      </c>
      <c r="G79">
        <v>0.10000000000000586</v>
      </c>
      <c r="H79">
        <v>8.899999999999995</v>
      </c>
      <c r="I79">
        <v>7.7999999999999883</v>
      </c>
      <c r="J79">
        <v>0</v>
      </c>
      <c r="K79">
        <v>0</v>
      </c>
      <c r="L79">
        <v>7.7999999999999883</v>
      </c>
      <c r="M79">
        <v>0.10000000000000586</v>
      </c>
      <c r="N79">
        <v>8.899999999999995</v>
      </c>
      <c r="O79">
        <v>7.7999999999999883</v>
      </c>
      <c r="P79">
        <v>0</v>
      </c>
      <c r="Q79">
        <v>0</v>
      </c>
      <c r="R79">
        <v>7.7999999999999883</v>
      </c>
    </row>
    <row r="80" spans="1:18" x14ac:dyDescent="0.3">
      <c r="A80">
        <v>5.000000000000604E-2</v>
      </c>
      <c r="B80">
        <v>8.949999999999994</v>
      </c>
      <c r="C80">
        <v>7.8999999999999879</v>
      </c>
      <c r="D80">
        <v>0</v>
      </c>
      <c r="E80">
        <v>0</v>
      </c>
      <c r="F80">
        <v>7.8999999999999879</v>
      </c>
      <c r="G80">
        <v>5.000000000000604E-2</v>
      </c>
      <c r="H80">
        <v>8.949999999999994</v>
      </c>
      <c r="I80">
        <v>7.8999999999999879</v>
      </c>
      <c r="J80">
        <v>0</v>
      </c>
      <c r="K80">
        <v>0</v>
      </c>
      <c r="L80">
        <v>7.8999999999999879</v>
      </c>
      <c r="M80">
        <v>5.000000000000604E-2</v>
      </c>
      <c r="N80">
        <v>8.949999999999994</v>
      </c>
      <c r="O80">
        <v>7.8999999999999879</v>
      </c>
      <c r="P80">
        <v>0</v>
      </c>
      <c r="Q80">
        <v>0</v>
      </c>
      <c r="R80">
        <v>7.8999999999999879</v>
      </c>
    </row>
    <row r="81" spans="1:18" x14ac:dyDescent="0.3">
      <c r="A81">
        <v>6.2172489379008766E-15</v>
      </c>
      <c r="B81">
        <v>8.9999999999999929</v>
      </c>
      <c r="C81">
        <v>7.9999999999999876</v>
      </c>
      <c r="D81">
        <v>0</v>
      </c>
      <c r="E81">
        <v>0</v>
      </c>
      <c r="F81">
        <v>7.9999999999999876</v>
      </c>
      <c r="G81">
        <v>6.2172489379008766E-15</v>
      </c>
      <c r="H81">
        <v>8.9999999999999929</v>
      </c>
      <c r="I81">
        <v>7.9999999999999876</v>
      </c>
      <c r="J81">
        <v>0</v>
      </c>
      <c r="K81">
        <v>0</v>
      </c>
      <c r="L81">
        <v>7.9999999999999876</v>
      </c>
      <c r="M81">
        <v>6.2172489379008766E-15</v>
      </c>
      <c r="N81">
        <v>8.9999999999999929</v>
      </c>
      <c r="O81">
        <v>7.9999999999999876</v>
      </c>
      <c r="P81">
        <v>0</v>
      </c>
      <c r="Q81">
        <v>0</v>
      </c>
      <c r="R81">
        <v>7.9999999999999876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E25" sqref="E25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17</vt:i4>
      </vt:variant>
    </vt:vector>
  </HeadingPairs>
  <TitlesOfParts>
    <vt:vector size="26" baseType="lpstr">
      <vt:lpstr>Foot Vectors</vt:lpstr>
      <vt:lpstr>Gait Patterns</vt:lpstr>
      <vt:lpstr>Sheet3</vt:lpstr>
      <vt:lpstr>Angles</vt:lpstr>
      <vt:lpstr>F(t)</vt:lpstr>
      <vt:lpstr>G(t)</vt:lpstr>
      <vt:lpstr>Example step</vt:lpstr>
      <vt:lpstr>Gate Calced</vt:lpstr>
      <vt:lpstr>Sheet5</vt:lpstr>
      <vt:lpstr>A_global</vt:lpstr>
      <vt:lpstr>Alpha</vt:lpstr>
      <vt:lpstr>Beta</vt:lpstr>
      <vt:lpstr>h</vt:lpstr>
      <vt:lpstr>L_1</vt:lpstr>
      <vt:lpstr>L_2</vt:lpstr>
      <vt:lpstr>R_b</vt:lpstr>
      <vt:lpstr>R_max</vt:lpstr>
      <vt:lpstr>R_min</vt:lpstr>
      <vt:lpstr>R_r</vt:lpstr>
      <vt:lpstr>t</vt:lpstr>
      <vt:lpstr>Theta</vt:lpstr>
      <vt:lpstr>X</vt:lpstr>
      <vt:lpstr>X_base</vt:lpstr>
      <vt:lpstr>Y</vt:lpstr>
      <vt:lpstr>Y_base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2018-02-03T22:27:10Z</dcterms:modified>
</cp:coreProperties>
</file>