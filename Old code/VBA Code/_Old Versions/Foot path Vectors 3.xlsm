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8280" tabRatio="528" firstSheet="1" activeTab="8"/>
  </bookViews>
  <sheets>
    <sheet name="Foot Vectors" sheetId="2" r:id="rId1"/>
    <sheet name="Gait Patterns" sheetId="5" r:id="rId2"/>
    <sheet name="Sheet3" sheetId="9" r:id="rId3"/>
    <sheet name="Angles" sheetId="1" r:id="rId4"/>
    <sheet name="F(t)" sheetId="7" r:id="rId5"/>
    <sheet name="G(t)" sheetId="8" r:id="rId6"/>
    <sheet name="Example step" sheetId="6" r:id="rId7"/>
    <sheet name="Gait Calced" sheetId="10" r:id="rId8"/>
    <sheet name="Graphs" sheetId="11" r:id="rId9"/>
    <sheet name="Gait Data" sheetId="12" r:id="rId10"/>
  </sheets>
  <definedNames>
    <definedName name="A_global">Angles!$Q$3:$Q$8</definedName>
    <definedName name="Alpha">Angles!$U$3:$U$8</definedName>
    <definedName name="Beta">Angles!$W$3:$W$8</definedName>
    <definedName name="h">'Example step'!$B$5</definedName>
    <definedName name="L_1">Angles!$B$10</definedName>
    <definedName name="L_2">Angles!$B$11</definedName>
    <definedName name="R_b">Angles!$B$13</definedName>
    <definedName name="R_max">Angles!$B$15</definedName>
    <definedName name="R_min">Angles!$B$14</definedName>
    <definedName name="R_r">Angles!$B$12</definedName>
    <definedName name="t">'Example step'!$B$4</definedName>
    <definedName name="Theta">Angles!$V$3:$V$8</definedName>
    <definedName name="X">Angles!$B$3:$B$8</definedName>
    <definedName name="X_base">Angles!$N$3:$N$8</definedName>
    <definedName name="Y">Angles!$C$3:$C$8</definedName>
    <definedName name="Y_base">Angles!$O$3:$O$8</definedName>
    <definedName name="Z">Angles!$D$3:$D$8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2" i="5" l="1"/>
  <c r="AD13" i="5"/>
  <c r="AD14" i="5"/>
  <c r="AD15" i="5"/>
  <c r="AD16" i="5"/>
  <c r="AD11" i="5"/>
  <c r="AC12" i="5"/>
  <c r="AC13" i="5"/>
  <c r="AC14" i="5"/>
  <c r="AC15" i="5"/>
  <c r="AC16" i="5"/>
  <c r="AC11" i="5"/>
  <c r="AB20" i="5"/>
  <c r="AB11" i="5"/>
  <c r="AB21" i="5" l="1"/>
  <c r="AC21" i="5"/>
  <c r="AB22" i="5"/>
  <c r="AC22" i="5"/>
  <c r="AB23" i="5"/>
  <c r="AC23" i="5" s="1"/>
  <c r="AB24" i="5"/>
  <c r="AC24" i="5" s="1"/>
  <c r="AB25" i="5"/>
  <c r="AC25" i="5"/>
  <c r="AC20" i="5"/>
  <c r="AA20" i="5"/>
  <c r="AA25" i="5"/>
  <c r="AA24" i="5"/>
  <c r="AA23" i="5"/>
  <c r="AA22" i="5"/>
  <c r="AA21" i="5"/>
  <c r="AB12" i="5"/>
  <c r="AB13" i="5"/>
  <c r="AB14" i="5"/>
  <c r="AB15" i="5"/>
  <c r="AB16" i="5"/>
  <c r="AA12" i="5"/>
  <c r="AA13" i="5"/>
  <c r="AA14" i="5"/>
  <c r="AA15" i="5"/>
  <c r="AA16" i="5"/>
  <c r="AA11" i="5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2" i="7"/>
  <c r="B2" i="8"/>
  <c r="B3" i="8" s="1"/>
  <c r="A3" i="8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A2" i="8" l="1"/>
  <c r="B4" i="8"/>
  <c r="A4" i="8" s="1"/>
  <c r="R3" i="1"/>
  <c r="N3" i="1"/>
  <c r="B5" i="8" l="1"/>
  <c r="A5" i="8" s="1"/>
  <c r="T3" i="2"/>
  <c r="S3" i="2"/>
  <c r="R3" i="2"/>
  <c r="Q3" i="2"/>
  <c r="P3" i="2"/>
  <c r="O3" i="2"/>
  <c r="N3" i="2"/>
  <c r="M3" i="2"/>
  <c r="L3" i="2"/>
  <c r="K3" i="2"/>
  <c r="J3" i="2"/>
  <c r="I3" i="2"/>
  <c r="B6" i="8" l="1"/>
  <c r="A6" i="8" s="1"/>
  <c r="Q8" i="1"/>
  <c r="Q7" i="1"/>
  <c r="R7" i="1" s="1"/>
  <c r="Q6" i="1"/>
  <c r="Q5" i="1"/>
  <c r="S5" i="1" s="1"/>
  <c r="Q4" i="1"/>
  <c r="S4" i="1" s="1"/>
  <c r="Q3" i="1"/>
  <c r="S6" i="1"/>
  <c r="S8" i="1"/>
  <c r="R6" i="1"/>
  <c r="R8" i="1"/>
  <c r="L7" i="1"/>
  <c r="L3" i="1"/>
  <c r="L4" i="1"/>
  <c r="L5" i="1"/>
  <c r="L6" i="1"/>
  <c r="L8" i="1"/>
  <c r="K8" i="1"/>
  <c r="K6" i="1"/>
  <c r="K5" i="1"/>
  <c r="K3" i="1"/>
  <c r="T4" i="1"/>
  <c r="T5" i="1"/>
  <c r="T6" i="1"/>
  <c r="T7" i="1"/>
  <c r="T8" i="1"/>
  <c r="T3" i="1"/>
  <c r="U4" i="1"/>
  <c r="V4" i="1" s="1"/>
  <c r="W4" i="1"/>
  <c r="Z4" i="1" s="1"/>
  <c r="U5" i="1"/>
  <c r="V5" i="1" s="1"/>
  <c r="W5" i="1"/>
  <c r="Z5" i="1" s="1"/>
  <c r="U6" i="1"/>
  <c r="V6" i="1" s="1"/>
  <c r="W6" i="1"/>
  <c r="Z6" i="1" s="1"/>
  <c r="U7" i="1"/>
  <c r="V7" i="1" s="1"/>
  <c r="W7" i="1"/>
  <c r="Z7" i="1" s="1"/>
  <c r="U8" i="1"/>
  <c r="V8" i="1" s="1"/>
  <c r="W8" i="1"/>
  <c r="Z8" i="1" s="1"/>
  <c r="W3" i="1"/>
  <c r="Z3" i="1" s="1"/>
  <c r="U3" i="1"/>
  <c r="V3" i="1" s="1"/>
  <c r="O4" i="1"/>
  <c r="I8" i="1"/>
  <c r="I7" i="1"/>
  <c r="I6" i="1"/>
  <c r="I5" i="1"/>
  <c r="I4" i="1"/>
  <c r="I3" i="1"/>
  <c r="H8" i="1"/>
  <c r="H6" i="1"/>
  <c r="H5" i="1"/>
  <c r="H3" i="1"/>
  <c r="F8" i="1"/>
  <c r="F7" i="1"/>
  <c r="F6" i="1"/>
  <c r="F5" i="1"/>
  <c r="F4" i="1"/>
  <c r="F3" i="1"/>
  <c r="E8" i="1"/>
  <c r="E6" i="1"/>
  <c r="E5" i="1"/>
  <c r="E3" i="1"/>
  <c r="B7" i="8" l="1"/>
  <c r="A7" i="8" s="1"/>
  <c r="Y6" i="1"/>
  <c r="Y4" i="1"/>
  <c r="Y5" i="1"/>
  <c r="Y8" i="1"/>
  <c r="Y7" i="1"/>
  <c r="Y3" i="1"/>
  <c r="S7" i="1"/>
  <c r="R5" i="1"/>
  <c r="R4" i="1"/>
  <c r="S3" i="1"/>
  <c r="O5" i="1"/>
  <c r="O6" i="1"/>
  <c r="X3" i="1"/>
  <c r="O7" i="1"/>
  <c r="N5" i="1"/>
  <c r="O8" i="1"/>
  <c r="N6" i="1"/>
  <c r="N8" i="1"/>
  <c r="O3" i="1"/>
  <c r="X5" i="1"/>
  <c r="X6" i="1"/>
  <c r="B8" i="8" l="1"/>
  <c r="A8" i="8" s="1"/>
  <c r="X7" i="1"/>
  <c r="X8" i="1"/>
  <c r="X4" i="1"/>
  <c r="B9" i="8" l="1"/>
  <c r="A9" i="8" s="1"/>
  <c r="D16" i="2"/>
  <c r="V4" i="2" s="1"/>
  <c r="D17" i="2"/>
  <c r="W4" i="2" s="1"/>
  <c r="D15" i="2"/>
  <c r="U4" i="2" s="1"/>
  <c r="C8" i="2"/>
  <c r="C7" i="2"/>
  <c r="C6" i="2"/>
  <c r="C5" i="2"/>
  <c r="C4" i="2"/>
  <c r="C3" i="2"/>
  <c r="B8" i="2"/>
  <c r="B6" i="2"/>
  <c r="B5" i="2"/>
  <c r="B3" i="2"/>
  <c r="B10" i="8" l="1"/>
  <c r="A10" i="8" s="1"/>
  <c r="D4" i="2"/>
  <c r="D7" i="2"/>
  <c r="D3" i="2"/>
  <c r="F3" i="2" s="1"/>
  <c r="J4" i="2" s="1"/>
  <c r="D5" i="2"/>
  <c r="D6" i="2"/>
  <c r="D8" i="2"/>
  <c r="B11" i="8" l="1"/>
  <c r="A11" i="8" s="1"/>
  <c r="E3" i="2"/>
  <c r="I4" i="2" s="1"/>
  <c r="E7" i="2"/>
  <c r="Q4" i="2" s="1"/>
  <c r="E8" i="2"/>
  <c r="S4" i="2" s="1"/>
  <c r="F7" i="2"/>
  <c r="R4" i="2" s="1"/>
  <c r="E6" i="2"/>
  <c r="O4" i="2" s="1"/>
  <c r="F6" i="2"/>
  <c r="P4" i="2" s="1"/>
  <c r="E4" i="2"/>
  <c r="K4" i="2" s="1"/>
  <c r="F4" i="2"/>
  <c r="L4" i="2" s="1"/>
  <c r="E5" i="2"/>
  <c r="M4" i="2" s="1"/>
  <c r="F5" i="2"/>
  <c r="N4" i="2" s="1"/>
  <c r="F8" i="2"/>
  <c r="T4" i="2" s="1"/>
  <c r="B12" i="8" l="1"/>
  <c r="A12" i="8" s="1"/>
  <c r="B13" i="8" l="1"/>
  <c r="A13" i="8" s="1"/>
  <c r="B14" i="8" l="1"/>
  <c r="A14" i="8" s="1"/>
  <c r="B15" i="8" l="1"/>
  <c r="A15" i="8" s="1"/>
  <c r="B16" i="8" l="1"/>
  <c r="A16" i="8" s="1"/>
  <c r="B17" i="8" l="1"/>
  <c r="A17" i="8" s="1"/>
  <c r="B18" i="8" l="1"/>
  <c r="A18" i="8" s="1"/>
  <c r="B19" i="8" l="1"/>
  <c r="A19" i="8" s="1"/>
  <c r="B20" i="8" l="1"/>
  <c r="A20" i="8" s="1"/>
  <c r="B21" i="8" l="1"/>
  <c r="A21" i="8" s="1"/>
  <c r="B22" i="8" l="1"/>
  <c r="A22" i="8" s="1"/>
  <c r="B23" i="8" l="1"/>
  <c r="A23" i="8" s="1"/>
  <c r="B24" i="8" l="1"/>
  <c r="A24" i="8" s="1"/>
  <c r="B25" i="8" l="1"/>
  <c r="A25" i="8" s="1"/>
  <c r="B26" i="8" l="1"/>
  <c r="A26" i="8" s="1"/>
  <c r="B27" i="8" l="1"/>
  <c r="A27" i="8" s="1"/>
  <c r="B28" i="8" l="1"/>
  <c r="A28" i="8" s="1"/>
  <c r="B29" i="8" l="1"/>
  <c r="A29" i="8" s="1"/>
  <c r="B30" i="8" l="1"/>
  <c r="A30" i="8" s="1"/>
  <c r="B31" i="8" l="1"/>
  <c r="A31" i="8" s="1"/>
  <c r="B32" i="8" l="1"/>
  <c r="A32" i="8" s="1"/>
  <c r="B33" i="8" l="1"/>
  <c r="A33" i="8" s="1"/>
  <c r="B34" i="8" l="1"/>
  <c r="A34" i="8" s="1"/>
  <c r="B35" i="8" l="1"/>
  <c r="A35" i="8" s="1"/>
  <c r="B36" i="8" l="1"/>
  <c r="A36" i="8" s="1"/>
  <c r="B37" i="8" l="1"/>
  <c r="A37" i="8" s="1"/>
  <c r="B38" i="8" l="1"/>
  <c r="A38" i="8" s="1"/>
  <c r="B39" i="8" l="1"/>
  <c r="A39" i="8" s="1"/>
  <c r="B40" i="8" l="1"/>
  <c r="A40" i="8" s="1"/>
  <c r="B41" i="8" l="1"/>
  <c r="A41" i="8" s="1"/>
</calcChain>
</file>

<file path=xl/sharedStrings.xml><?xml version="1.0" encoding="utf-8"?>
<sst xmlns="http://schemas.openxmlformats.org/spreadsheetml/2006/main" count="1536" uniqueCount="122">
  <si>
    <t>Alpha</t>
  </si>
  <si>
    <t>Claw (L_2)</t>
  </si>
  <si>
    <t>x</t>
  </si>
  <si>
    <t>y</t>
  </si>
  <si>
    <t xml:space="preserve">Arm (L_1) </t>
  </si>
  <si>
    <t>In Degrees</t>
  </si>
  <si>
    <t>In Radians</t>
  </si>
  <si>
    <t>Theta</t>
  </si>
  <si>
    <t>Beta</t>
  </si>
  <si>
    <t>Leg 1</t>
  </si>
  <si>
    <t>foot 1</t>
  </si>
  <si>
    <t>foot 2</t>
  </si>
  <si>
    <t>foot 3</t>
  </si>
  <si>
    <t>foot 4</t>
  </si>
  <si>
    <t>foot 5</t>
  </si>
  <si>
    <t>foot 6</t>
  </si>
  <si>
    <t>Joystick 1</t>
  </si>
  <si>
    <t>Joystick 2</t>
  </si>
  <si>
    <t>Qx</t>
  </si>
  <si>
    <t>Qy</t>
  </si>
  <si>
    <t>T</t>
  </si>
  <si>
    <t>angle</t>
  </si>
  <si>
    <t>theta</t>
  </si>
  <si>
    <t>datum</t>
  </si>
  <si>
    <t>Resting Radius</t>
  </si>
  <si>
    <t>Body Radius</t>
  </si>
  <si>
    <t>vector</t>
  </si>
  <si>
    <t>(-1 to 1)</t>
  </si>
  <si>
    <t>Value</t>
  </si>
  <si>
    <t>Range</t>
  </si>
  <si>
    <t>Variable</t>
  </si>
  <si>
    <t>Joystick Inputs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</si>
  <si>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</si>
  <si>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</si>
  <si>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</si>
  <si>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</si>
  <si>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</si>
  <si>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</si>
  <si>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</si>
  <si>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</si>
  <si>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</si>
  <si>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</si>
  <si>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</si>
  <si>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</si>
  <si>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</si>
  <si>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</si>
  <si>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</si>
  <si>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BODY Radius</t>
  </si>
  <si>
    <t>Datum</t>
  </si>
  <si>
    <t>oh the ground</t>
  </si>
  <si>
    <t>in the air</t>
  </si>
  <si>
    <t>C</t>
  </si>
  <si>
    <t>D</t>
  </si>
  <si>
    <t>A</t>
  </si>
  <si>
    <t>B</t>
  </si>
  <si>
    <t>x'</t>
  </si>
  <si>
    <t>y'</t>
  </si>
  <si>
    <t>X</t>
  </si>
  <si>
    <t>Y</t>
  </si>
  <si>
    <t>Z</t>
  </si>
  <si>
    <t>Local Coordinates</t>
  </si>
  <si>
    <t>Global Coordinates</t>
  </si>
  <si>
    <t>Angle</t>
  </si>
  <si>
    <t>Leg Base Coordinates</t>
  </si>
  <si>
    <t>Limit Coordinates (min)</t>
  </si>
  <si>
    <t>Limit Coordinates (max)</t>
  </si>
  <si>
    <t>Limit min</t>
  </si>
  <si>
    <t>Limit max</t>
  </si>
  <si>
    <t>Foot vector Datum</t>
  </si>
  <si>
    <t>Foot 1</t>
  </si>
  <si>
    <t>Foot 2</t>
  </si>
  <si>
    <t>Foot 3</t>
  </si>
  <si>
    <t>Foot 4</t>
  </si>
  <si>
    <t>Foot 5</t>
  </si>
  <si>
    <t>Foot 6</t>
  </si>
  <si>
    <t>Vector</t>
  </si>
  <si>
    <t>Direction</t>
  </si>
  <si>
    <t>Rotation</t>
  </si>
  <si>
    <t>G(t)</t>
  </si>
  <si>
    <t>t</t>
  </si>
  <si>
    <t>Fx</t>
  </si>
  <si>
    <t>Gx</t>
  </si>
  <si>
    <t>FX</t>
  </si>
  <si>
    <t>GX</t>
  </si>
  <si>
    <t>Foot</t>
  </si>
  <si>
    <t>Total</t>
  </si>
  <si>
    <t xml:space="preserve">A </t>
  </si>
  <si>
    <t xml:space="preserve">C </t>
  </si>
  <si>
    <t>A offset</t>
  </si>
  <si>
    <t>a</t>
  </si>
  <si>
    <t>b</t>
  </si>
  <si>
    <t>d</t>
  </si>
  <si>
    <t>A_size</t>
  </si>
  <si>
    <t>B_size</t>
  </si>
  <si>
    <t>C_size</t>
  </si>
  <si>
    <t>D_size</t>
  </si>
  <si>
    <t>blocks</t>
  </si>
  <si>
    <t>A_slope</t>
  </si>
  <si>
    <t>B_slope</t>
  </si>
  <si>
    <t>c</t>
  </si>
  <si>
    <t>B -&gt; C</t>
  </si>
  <si>
    <t>C -&gt; D</t>
  </si>
  <si>
    <t>D -&gt; A</t>
  </si>
  <si>
    <t>A -&gt; B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</si>
  <si>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</si>
  <si>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</si>
  <si>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</si>
  <si>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</si>
  <si>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</si>
  <si>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</si>
  <si>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</si>
  <si>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</si>
  <si>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</si>
  <si>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</si>
  <si>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</si>
  <si>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</si>
  <si>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</si>
  <si>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</si>
  <si>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</si>
  <si>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</si>
  <si>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</si>
  <si>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Test Gait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</si>
</sst>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9" xfId="0" applyFont="1" applyBorder="1"/>
    <xf numFmtId="0" fontId="0" fillId="2" borderId="9" xfId="0" applyFont="1" applyFill="1" applyBorder="1"/>
    <xf numFmtId="0" fontId="0" fillId="0" borderId="10" xfId="0" applyFont="1" applyBorder="1"/>
    <xf numFmtId="0" fontId="0" fillId="2" borderId="10" xfId="0" applyFont="1" applyFill="1" applyBorder="1"/>
    <xf numFmtId="0" fontId="0" fillId="2" borderId="11" xfId="0" applyFont="1" applyFill="1" applyBorder="1"/>
    <xf numFmtId="164" fontId="0" fillId="0" borderId="4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164" fontId="0" fillId="2" borderId="4" xfId="0" applyNumberFormat="1" applyFont="1" applyFill="1" applyBorder="1" applyAlignment="1">
      <alignment horizontal="center"/>
    </xf>
    <xf numFmtId="164" fontId="0" fillId="2" borderId="7" xfId="0" applyNumberFormat="1" applyFont="1" applyFill="1" applyBorder="1" applyAlignment="1">
      <alignment horizontal="center"/>
    </xf>
    <xf numFmtId="164" fontId="0" fillId="2" borderId="5" xfId="0" applyNumberFormat="1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0" xfId="0" applyFont="1" applyFill="1" applyBorder="1"/>
    <xf numFmtId="164" fontId="0" fillId="2" borderId="15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0" fillId="3" borderId="0" xfId="0" applyFill="1"/>
    <xf numFmtId="0" fontId="0" fillId="0" borderId="0" xfId="0" applyFill="1"/>
    <xf numFmtId="0" fontId="0" fillId="0" borderId="0" xfId="0" applyAlignment="1"/>
    <xf numFmtId="0" fontId="0" fillId="0" borderId="16" xfId="0" applyBorder="1"/>
    <xf numFmtId="0" fontId="4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0" fillId="0" borderId="0" xfId="0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5" fillId="3" borderId="0" xfId="0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Vectors'!$I$1:$J$1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Vectors'!$I$3:$I$4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2.598076211353316</c:v>
                </c:pt>
              </c:numCache>
            </c:numRef>
          </c:xVal>
          <c:yVal>
            <c:numRef>
              <c:f>'Foot Vectors'!$J$3:$J$4</c:f>
              <c:numCache>
                <c:formatCode>0.000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C-473A-A31F-CDE236311C92}"/>
            </c:ext>
          </c:extLst>
        </c:ser>
        <c:ser>
          <c:idx val="1"/>
          <c:order val="1"/>
          <c:tx>
            <c:strRef>
              <c:f>'Foot Vectors'!$K$1:$L$1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Vectors'!$K$3:$K$4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Vectors'!$L$3:$L$4</c:f>
              <c:numCache>
                <c:formatCode>0.000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C-473A-A31F-CDE236311C92}"/>
            </c:ext>
          </c:extLst>
        </c:ser>
        <c:ser>
          <c:idx val="2"/>
          <c:order val="2"/>
          <c:tx>
            <c:strRef>
              <c:f>'Foot Vectors'!$M$1:$N$1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Vectors'!$M$3:$M$4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-2.598076211353316</c:v>
                </c:pt>
              </c:numCache>
            </c:numRef>
          </c:xVal>
          <c:yVal>
            <c:numRef>
              <c:f>'Foot Vectors'!$N$3:$N$4</c:f>
              <c:numCache>
                <c:formatCode>0.000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C-473A-A31F-CDE236311C92}"/>
            </c:ext>
          </c:extLst>
        </c:ser>
        <c:ser>
          <c:idx val="3"/>
          <c:order val="3"/>
          <c:tx>
            <c:strRef>
              <c:f>'Foot Vectors'!$O$1:$P$1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Vectors'!$O$3:$O$4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-2.598076211353316</c:v>
                </c:pt>
              </c:numCache>
            </c:numRef>
          </c:xVal>
          <c:yVal>
            <c:numRef>
              <c:f>'Foot Vectors'!$P$3:$P$4</c:f>
              <c:numCache>
                <c:formatCode>0.000</c:formatCode>
                <c:ptCount val="2"/>
                <c:pt idx="0">
                  <c:v>-1.5</c:v>
                </c:pt>
                <c:pt idx="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BC-473A-A31F-CDE236311C92}"/>
            </c:ext>
          </c:extLst>
        </c:ser>
        <c:ser>
          <c:idx val="4"/>
          <c:order val="4"/>
          <c:tx>
            <c:strRef>
              <c:f>'Foot Vectors'!$Q$1:$R$1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Vectors'!$Q$3:$Q$4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Vectors'!$R$3:$R$4</c:f>
              <c:numCache>
                <c:formatCode>0.000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BC-473A-A31F-CDE236311C92}"/>
            </c:ext>
          </c:extLst>
        </c:ser>
        <c:ser>
          <c:idx val="5"/>
          <c:order val="5"/>
          <c:tx>
            <c:strRef>
              <c:f>'Foot Vectors'!$S$1:$T$1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Vectors'!$S$3:$S$4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2.598076211353316</c:v>
                </c:pt>
              </c:numCache>
            </c:numRef>
          </c:xVal>
          <c:yVal>
            <c:numRef>
              <c:f>'Foot Vectors'!$T$3:$T$4</c:f>
              <c:numCache>
                <c:formatCode>0.000</c:formatCode>
                <c:ptCount val="2"/>
                <c:pt idx="0">
                  <c:v>-1.5</c:v>
                </c:pt>
                <c:pt idx="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BC-473A-A31F-CDE236311C92}"/>
            </c:ext>
          </c:extLst>
        </c:ser>
        <c:ser>
          <c:idx val="6"/>
          <c:order val="6"/>
          <c:tx>
            <c:strRef>
              <c:f>'Foot Vectors'!$U$1:$V$1</c:f>
              <c:strCache>
                <c:ptCount val="1"/>
                <c:pt idx="0">
                  <c:v>Direction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Vectors'!$U$3:$U$4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Vectors'!$V$3:$V$4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BC-473A-A31F-CDE236311C92}"/>
            </c:ext>
          </c:extLst>
        </c:ser>
        <c:ser>
          <c:idx val="7"/>
          <c:order val="7"/>
          <c:tx>
            <c:strRef>
              <c:f>'Foot Vectors'!$W$1</c:f>
              <c:strCache>
                <c:ptCount val="1"/>
                <c:pt idx="0">
                  <c:v>Rotation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Vectors'!$W$3:$W$4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Vectors'!$X$3:$X$4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BC-473A-A31F-CDE236311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8309178743961352E-2"/>
          <c:w val="0.66074628345413089"/>
          <c:h val="0.85022125857456221"/>
        </c:manualLayout>
      </c:layout>
      <c:scatterChart>
        <c:scatterStyle val="lineMarker"/>
        <c:varyColors val="0"/>
        <c:ser>
          <c:idx val="0"/>
          <c:order val="0"/>
          <c:tx>
            <c:v>Limit (min)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Angles!$E$3:$E$8</c:f>
              <c:numCache>
                <c:formatCode>0.00</c:formatCode>
                <c:ptCount val="6"/>
                <c:pt idx="0">
                  <c:v>1.9052558883257651</c:v>
                </c:pt>
                <c:pt idx="1">
                  <c:v>0</c:v>
                </c:pt>
                <c:pt idx="2">
                  <c:v>-1.9052558883257651</c:v>
                </c:pt>
                <c:pt idx="3">
                  <c:v>-1.9052558883257651</c:v>
                </c:pt>
                <c:pt idx="4">
                  <c:v>0</c:v>
                </c:pt>
                <c:pt idx="5">
                  <c:v>1.9052558883257651</c:v>
                </c:pt>
              </c:numCache>
            </c:numRef>
          </c:xVal>
          <c:yVal>
            <c:numRef>
              <c:f>Angles!$F$3:$F$8</c:f>
              <c:numCache>
                <c:formatCode>0.00</c:formatCode>
                <c:ptCount val="6"/>
                <c:pt idx="0">
                  <c:v>1.1000000000000001</c:v>
                </c:pt>
                <c:pt idx="1">
                  <c:v>2.2000000000000002</c:v>
                </c:pt>
                <c:pt idx="2">
                  <c:v>1.1000000000000001</c:v>
                </c:pt>
                <c:pt idx="3">
                  <c:v>-1.1000000000000001</c:v>
                </c:pt>
                <c:pt idx="4">
                  <c:v>-2.2000000000000002</c:v>
                </c:pt>
                <c:pt idx="5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2D-4E55-9A07-439AEDA32BC0}"/>
            </c:ext>
          </c:extLst>
        </c:ser>
        <c:ser>
          <c:idx val="1"/>
          <c:order val="1"/>
          <c:tx>
            <c:v>Limit (max)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Angles!$H$3:$H$8</c:f>
              <c:numCache>
                <c:formatCode>0.00</c:formatCode>
                <c:ptCount val="6"/>
                <c:pt idx="0">
                  <c:v>4.3301270189221928</c:v>
                </c:pt>
                <c:pt idx="1">
                  <c:v>0</c:v>
                </c:pt>
                <c:pt idx="2">
                  <c:v>-4.3301270189221928</c:v>
                </c:pt>
                <c:pt idx="3">
                  <c:v>-4.3301270189221928</c:v>
                </c:pt>
                <c:pt idx="4">
                  <c:v>0</c:v>
                </c:pt>
                <c:pt idx="5">
                  <c:v>4.3301270189221928</c:v>
                </c:pt>
              </c:numCache>
            </c:numRef>
          </c:xVal>
          <c:yVal>
            <c:numRef>
              <c:f>Angles!$I$3:$I$8</c:f>
              <c:numCache>
                <c:formatCode>0.00</c:formatCode>
                <c:ptCount val="6"/>
                <c:pt idx="0">
                  <c:v>2.5</c:v>
                </c:pt>
                <c:pt idx="1">
                  <c:v>5</c:v>
                </c:pt>
                <c:pt idx="2">
                  <c:v>2.5</c:v>
                </c:pt>
                <c:pt idx="3">
                  <c:v>-2.5</c:v>
                </c:pt>
                <c:pt idx="4">
                  <c:v>-5</c:v>
                </c:pt>
                <c:pt idx="5">
                  <c:v>-2.5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2D-4E55-9A07-439AEDA32BC0}"/>
            </c:ext>
          </c:extLst>
        </c:ser>
        <c:ser>
          <c:idx val="2"/>
          <c:order val="2"/>
          <c:tx>
            <c:v>Leg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1.7320508075688772</c:v>
                </c:pt>
                <c:pt idx="1">
                  <c:v>0</c:v>
                </c:pt>
                <c:pt idx="2">
                  <c:v>-1.7320508075688772</c:v>
                </c:pt>
                <c:pt idx="3">
                  <c:v>-1.7320508075688772</c:v>
                </c:pt>
                <c:pt idx="4">
                  <c:v>0</c:v>
                </c:pt>
                <c:pt idx="5">
                  <c:v>1.7320508075688772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2D-4E55-9A07-439AEDA32BC0}"/>
            </c:ext>
          </c:extLst>
        </c:ser>
        <c:ser>
          <c:idx val="3"/>
          <c:order val="3"/>
          <c:tx>
            <c:v>Global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2.848076211353316</c:v>
                </c:pt>
                <c:pt idx="1">
                  <c:v>6.1257422745431001E-17</c:v>
                </c:pt>
                <c:pt idx="2">
                  <c:v>-2.598076211353316</c:v>
                </c:pt>
                <c:pt idx="3">
                  <c:v>-2.598076211353316</c:v>
                </c:pt>
                <c:pt idx="4">
                  <c:v>-1.83772268236293E-16</c:v>
                </c:pt>
                <c:pt idx="5">
                  <c:v>2.5980762113533156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1.0669872981077806</c:v>
                </c:pt>
                <c:pt idx="1">
                  <c:v>3</c:v>
                </c:pt>
                <c:pt idx="2">
                  <c:v>1.5</c:v>
                </c:pt>
                <c:pt idx="3">
                  <c:v>-1.5</c:v>
                </c:pt>
                <c:pt idx="4">
                  <c:v>-3</c:v>
                </c:pt>
                <c:pt idx="5">
                  <c:v>-1.5000000000000004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D-4E55-9A07-439AEDA32BC0}"/>
            </c:ext>
          </c:extLst>
        </c:ser>
        <c:ser>
          <c:idx val="4"/>
          <c:order val="4"/>
          <c:tx>
            <c:v>Datum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2.598076211353316</c:v>
                </c:pt>
                <c:pt idx="1">
                  <c:v>0</c:v>
                </c:pt>
                <c:pt idx="2">
                  <c:v>-2.598076211353316</c:v>
                </c:pt>
                <c:pt idx="3">
                  <c:v>-2.598076211353316</c:v>
                </c:pt>
                <c:pt idx="4">
                  <c:v>0</c:v>
                </c:pt>
                <c:pt idx="5">
                  <c:v>2.598076211353316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1.5</c:v>
                </c:pt>
                <c:pt idx="1">
                  <c:v>3</c:v>
                </c:pt>
                <c:pt idx="2">
                  <c:v>1.5</c:v>
                </c:pt>
                <c:pt idx="3">
                  <c:v>-1.5</c:v>
                </c:pt>
                <c:pt idx="4">
                  <c:v>-3</c:v>
                </c:pt>
                <c:pt idx="5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2D-4E55-9A07-439AEDA32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F(t)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'F(t)'!$B:$B</c:f>
              <c:numCache>
                <c:formatCode>General</c:formatCode>
                <c:ptCount val="104857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'F(t)'!$A:$A</c:f>
              <c:numCache>
                <c:formatCode>0.000</c:formatCode>
                <c:ptCount val="1048576"/>
                <c:pt idx="0" formatCode="General">
                  <c:v>0</c:v>
                </c:pt>
                <c:pt idx="1">
                  <c:v>3.7613204469885664E-9</c:v>
                </c:pt>
                <c:pt idx="2">
                  <c:v>3.7369849515443568E-8</c:v>
                </c:pt>
                <c:pt idx="3">
                  <c:v>3.1525808955654123E-7</c:v>
                </c:pt>
                <c:pt idx="4">
                  <c:v>2.2651805924878739E-6</c:v>
                </c:pt>
                <c:pt idx="5">
                  <c:v>1.3906326581750079E-5</c:v>
                </c:pt>
                <c:pt idx="6">
                  <c:v>7.3187262364615767E-5</c:v>
                </c:pt>
                <c:pt idx="7">
                  <c:v>3.3134353621770333E-4</c:v>
                </c:pt>
                <c:pt idx="8">
                  <c:v>1.2951554703307835E-3</c:v>
                </c:pt>
                <c:pt idx="9">
                  <c:v>4.3876303447544385E-3</c:v>
                </c:pt>
                <c:pt idx="10">
                  <c:v>1.2934901388949791E-2</c:v>
                </c:pt>
                <c:pt idx="11">
                  <c:v>3.3326709640187822E-2</c:v>
                </c:pt>
                <c:pt idx="12">
                  <c:v>7.5391014764064485E-2</c:v>
                </c:pt>
                <c:pt idx="13">
                  <c:v>0.15048800688482272</c:v>
                </c:pt>
                <c:pt idx="14">
                  <c:v>0.26649353662113484</c:v>
                </c:pt>
                <c:pt idx="15">
                  <c:v>0.42117217199249152</c:v>
                </c:pt>
                <c:pt idx="16">
                  <c:v>0.59802135594038575</c:v>
                </c:pt>
                <c:pt idx="17">
                  <c:v>0.76873773587048555</c:v>
                </c:pt>
                <c:pt idx="18">
                  <c:v>0.90280196534137114</c:v>
                </c:pt>
                <c:pt idx="19">
                  <c:v>0.97986907763625286</c:v>
                </c:pt>
                <c:pt idx="20">
                  <c:v>1</c:v>
                </c:pt>
                <c:pt idx="21">
                  <c:v>0.97986907763625242</c:v>
                </c:pt>
                <c:pt idx="22">
                  <c:v>0.90280196534136992</c:v>
                </c:pt>
                <c:pt idx="23">
                  <c:v>0.76873773587048388</c:v>
                </c:pt>
                <c:pt idx="24">
                  <c:v>0.59802135594038386</c:v>
                </c:pt>
                <c:pt idx="25">
                  <c:v>0.42117217199248974</c:v>
                </c:pt>
                <c:pt idx="26">
                  <c:v>0.26649353662113334</c:v>
                </c:pt>
                <c:pt idx="27">
                  <c:v>0.1504880068848217</c:v>
                </c:pt>
                <c:pt idx="28">
                  <c:v>7.5391014764063888E-2</c:v>
                </c:pt>
                <c:pt idx="29">
                  <c:v>3.3326709640187496E-2</c:v>
                </c:pt>
                <c:pt idx="30">
                  <c:v>1.2934901388949619E-2</c:v>
                </c:pt>
                <c:pt idx="31">
                  <c:v>4.3876303447543726E-3</c:v>
                </c:pt>
                <c:pt idx="32">
                  <c:v>1.2951554703307616E-3</c:v>
                </c:pt>
                <c:pt idx="33">
                  <c:v>3.3134353621769563E-4</c:v>
                </c:pt>
                <c:pt idx="34">
                  <c:v>7.3187262364613815E-5</c:v>
                </c:pt>
                <c:pt idx="35">
                  <c:v>1.3906326581749635E-5</c:v>
                </c:pt>
                <c:pt idx="36">
                  <c:v>2.2651805924878014E-6</c:v>
                </c:pt>
                <c:pt idx="37">
                  <c:v>3.1525808955652779E-7</c:v>
                </c:pt>
                <c:pt idx="38">
                  <c:v>3.7369849515441841E-8</c:v>
                </c:pt>
                <c:pt idx="39">
                  <c:v>3.7613204469883662E-9</c:v>
                </c:pt>
                <c:pt idx="40">
                  <c:v>3.2051175422316529E-10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29-4985-8E35-496B21793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756680"/>
        <c:axId val="512763568"/>
      </c:scatterChart>
      <c:valAx>
        <c:axId val="51275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3568"/>
        <c:crosses val="autoZero"/>
        <c:crossBetween val="midCat"/>
      </c:valAx>
      <c:valAx>
        <c:axId val="51276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5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G(t)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'G(t)'!$B:$B</c:f>
              <c:numCache>
                <c:formatCode>General</c:formatCode>
                <c:ptCount val="104857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'G(t)'!$A:$A</c:f>
              <c:numCache>
                <c:formatCode>0.000</c:formatCode>
                <c:ptCount val="1048576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0.90000000000000013</c:v>
                </c:pt>
                <c:pt idx="12">
                  <c:v>0.8</c:v>
                </c:pt>
                <c:pt idx="13">
                  <c:v>0.7</c:v>
                </c:pt>
                <c:pt idx="14">
                  <c:v>0.59999999999999987</c:v>
                </c:pt>
                <c:pt idx="15">
                  <c:v>0.49999999999999978</c:v>
                </c:pt>
                <c:pt idx="16">
                  <c:v>0.39999999999999969</c:v>
                </c:pt>
                <c:pt idx="17">
                  <c:v>0.2999999999999996</c:v>
                </c:pt>
                <c:pt idx="18">
                  <c:v>0.19999999999999951</c:v>
                </c:pt>
                <c:pt idx="19">
                  <c:v>9.9999999999999423E-2</c:v>
                </c:pt>
                <c:pt idx="20">
                  <c:v>0</c:v>
                </c:pt>
                <c:pt idx="21">
                  <c:v>-0.10000000000000053</c:v>
                </c:pt>
                <c:pt idx="22">
                  <c:v>-0.20000000000000062</c:v>
                </c:pt>
                <c:pt idx="23">
                  <c:v>-0.30000000000000071</c:v>
                </c:pt>
                <c:pt idx="24">
                  <c:v>-0.4000000000000008</c:v>
                </c:pt>
                <c:pt idx="25">
                  <c:v>-0.50000000000000089</c:v>
                </c:pt>
                <c:pt idx="26">
                  <c:v>-0.60000000000000098</c:v>
                </c:pt>
                <c:pt idx="27">
                  <c:v>-0.70000000000000107</c:v>
                </c:pt>
                <c:pt idx="28">
                  <c:v>-0.80000000000000115</c:v>
                </c:pt>
                <c:pt idx="29">
                  <c:v>-0.90000000000000124</c:v>
                </c:pt>
                <c:pt idx="30">
                  <c:v>-0.99999999999999867</c:v>
                </c:pt>
                <c:pt idx="31">
                  <c:v>-0.89999999999999858</c:v>
                </c:pt>
                <c:pt idx="32">
                  <c:v>-0.79999999999999849</c:v>
                </c:pt>
                <c:pt idx="33">
                  <c:v>-0.6999999999999984</c:v>
                </c:pt>
                <c:pt idx="34">
                  <c:v>-0.59999999999999831</c:v>
                </c:pt>
                <c:pt idx="35">
                  <c:v>-0.49999999999999822</c:v>
                </c:pt>
                <c:pt idx="36">
                  <c:v>-0.39999999999999813</c:v>
                </c:pt>
                <c:pt idx="37">
                  <c:v>-0.29999999999999805</c:v>
                </c:pt>
                <c:pt idx="38">
                  <c:v>-0.19999999999999796</c:v>
                </c:pt>
                <c:pt idx="39">
                  <c:v>-9.9999999999997868E-2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98-435E-AB7D-75BE87E60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704448"/>
        <c:axId val="592708712"/>
      </c:scatterChart>
      <c:valAx>
        <c:axId val="59270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08712"/>
        <c:crosses val="autoZero"/>
        <c:crossBetween val="midCat"/>
      </c:valAx>
      <c:valAx>
        <c:axId val="59270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0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438281893595415E-2"/>
          <c:y val="5.3767049610601955E-2"/>
          <c:w val="0.88670932556788062"/>
          <c:h val="0.88861960902428183"/>
        </c:manualLayout>
      </c:layout>
      <c:scatterChart>
        <c:scatterStyle val="lineMarker"/>
        <c:varyColors val="0"/>
        <c:ser>
          <c:idx val="0"/>
          <c:order val="0"/>
          <c:tx>
            <c:v>Foot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step'!$A$2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step'!$B$2</c:f>
              <c:numCache>
                <c:formatCode>General</c:formatCode>
                <c:ptCount val="1"/>
                <c:pt idx="0">
                  <c:v>1.229396519077818E-2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C-42D4-8D6D-757795408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795640"/>
        <c:axId val="602796624"/>
      </c:scatterChart>
      <c:valAx>
        <c:axId val="602795640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796624"/>
        <c:crosses val="autoZero"/>
        <c:crossBetween val="midCat"/>
      </c:valAx>
      <c:valAx>
        <c:axId val="602796624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795640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 step'!$A$1</c:f>
              <c:strCache>
                <c:ptCount val="1"/>
                <c:pt idx="0">
                  <c:v>Gx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step'!$C$2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step'!$A$2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C-480C-B8CF-174BCBF0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85240"/>
        <c:axId val="603798032"/>
      </c:scatterChart>
      <c:valAx>
        <c:axId val="603785240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8032"/>
        <c:crosses val="autoZero"/>
        <c:crossBetween val="midCat"/>
      </c:valAx>
      <c:valAx>
        <c:axId val="60379803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8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 step'!$B$1</c:f>
              <c:strCache>
                <c:ptCount val="1"/>
                <c:pt idx="0">
                  <c:v>Fx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step'!$C$2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step'!$B$2</c:f>
              <c:numCache>
                <c:formatCode>General</c:formatCode>
                <c:ptCount val="1"/>
                <c:pt idx="0">
                  <c:v>1.229396519077818E-2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D0-4721-B29A-A3521D3E1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85240"/>
        <c:axId val="603798032"/>
      </c:scatterChart>
      <c:valAx>
        <c:axId val="603785240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8032"/>
        <c:crosses val="autoZero"/>
        <c:crossBetween val="midCat"/>
      </c:valAx>
      <c:valAx>
        <c:axId val="60379803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8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Calced'!$C:$C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9.9999999999589306E-3</c:v>
                </c:pt>
                <c:pt idx="402">
                  <c:v>1.9999999999958717E-2</c:v>
                </c:pt>
                <c:pt idx="403">
                  <c:v>2.9999999999958504E-2</c:v>
                </c:pt>
                <c:pt idx="404">
                  <c:v>3.9999999999958291E-2</c:v>
                </c:pt>
                <c:pt idx="405">
                  <c:v>4.9999999999958078E-2</c:v>
                </c:pt>
                <c:pt idx="406">
                  <c:v>5.9999999999957865E-2</c:v>
                </c:pt>
                <c:pt idx="407">
                  <c:v>6.9999999999957652E-2</c:v>
                </c:pt>
                <c:pt idx="408">
                  <c:v>7.9999999999957438E-2</c:v>
                </c:pt>
                <c:pt idx="409">
                  <c:v>8.9999999999957225E-2</c:v>
                </c:pt>
                <c:pt idx="410">
                  <c:v>9.9999999999957012E-2</c:v>
                </c:pt>
                <c:pt idx="411">
                  <c:v>0.1099999999999568</c:v>
                </c:pt>
                <c:pt idx="412">
                  <c:v>0.11999999999995659</c:v>
                </c:pt>
                <c:pt idx="413">
                  <c:v>0.12999999999995637</c:v>
                </c:pt>
                <c:pt idx="414">
                  <c:v>0.13999999999995616</c:v>
                </c:pt>
                <c:pt idx="415">
                  <c:v>0.14999999999995595</c:v>
                </c:pt>
                <c:pt idx="416">
                  <c:v>0.15999999999995573</c:v>
                </c:pt>
                <c:pt idx="417">
                  <c:v>0.16999999999995552</c:v>
                </c:pt>
                <c:pt idx="418">
                  <c:v>0.17999999999995531</c:v>
                </c:pt>
                <c:pt idx="419">
                  <c:v>0.18999999999995509</c:v>
                </c:pt>
                <c:pt idx="420">
                  <c:v>0.19999999999995488</c:v>
                </c:pt>
                <c:pt idx="421">
                  <c:v>0.20999999999995467</c:v>
                </c:pt>
                <c:pt idx="422">
                  <c:v>0.21999999999995445</c:v>
                </c:pt>
                <c:pt idx="423">
                  <c:v>0.22999999999995424</c:v>
                </c:pt>
                <c:pt idx="424">
                  <c:v>0.23999999999995403</c:v>
                </c:pt>
                <c:pt idx="425">
                  <c:v>0.24999999999995381</c:v>
                </c:pt>
                <c:pt idx="426">
                  <c:v>0.2599999999999536</c:v>
                </c:pt>
                <c:pt idx="427">
                  <c:v>0.26999999999995339</c:v>
                </c:pt>
                <c:pt idx="428">
                  <c:v>0.27999999999995318</c:v>
                </c:pt>
                <c:pt idx="429">
                  <c:v>0.28999999999995296</c:v>
                </c:pt>
                <c:pt idx="430">
                  <c:v>0.29999999999995275</c:v>
                </c:pt>
                <c:pt idx="431">
                  <c:v>0.30999999999995254</c:v>
                </c:pt>
                <c:pt idx="432">
                  <c:v>0.31999999999995232</c:v>
                </c:pt>
                <c:pt idx="433">
                  <c:v>0.32999999999995211</c:v>
                </c:pt>
                <c:pt idx="434">
                  <c:v>0.3399999999999519</c:v>
                </c:pt>
                <c:pt idx="435">
                  <c:v>0.34999999999995168</c:v>
                </c:pt>
                <c:pt idx="436">
                  <c:v>0.35999999999995147</c:v>
                </c:pt>
                <c:pt idx="437">
                  <c:v>0.36999999999995126</c:v>
                </c:pt>
                <c:pt idx="438">
                  <c:v>0.37999999999995104</c:v>
                </c:pt>
                <c:pt idx="439">
                  <c:v>0.38999999999995083</c:v>
                </c:pt>
                <c:pt idx="440">
                  <c:v>0.39999999999995062</c:v>
                </c:pt>
                <c:pt idx="441">
                  <c:v>0.4099999999999504</c:v>
                </c:pt>
                <c:pt idx="442">
                  <c:v>0.41999999999995019</c:v>
                </c:pt>
                <c:pt idx="443">
                  <c:v>0.42999999999994998</c:v>
                </c:pt>
                <c:pt idx="444">
                  <c:v>0.43999999999994976</c:v>
                </c:pt>
                <c:pt idx="445">
                  <c:v>0.44999999999994955</c:v>
                </c:pt>
                <c:pt idx="446">
                  <c:v>0.45999999999994934</c:v>
                </c:pt>
                <c:pt idx="447">
                  <c:v>0.46999999999994913</c:v>
                </c:pt>
                <c:pt idx="448">
                  <c:v>0.47999999999994891</c:v>
                </c:pt>
                <c:pt idx="449">
                  <c:v>0.4899999999999487</c:v>
                </c:pt>
                <c:pt idx="450">
                  <c:v>0.49999999999994849</c:v>
                </c:pt>
                <c:pt idx="451">
                  <c:v>0.50999999999994827</c:v>
                </c:pt>
                <c:pt idx="452">
                  <c:v>0.51999999999994806</c:v>
                </c:pt>
                <c:pt idx="453">
                  <c:v>0.52999999999994785</c:v>
                </c:pt>
                <c:pt idx="454">
                  <c:v>0.53999999999994763</c:v>
                </c:pt>
                <c:pt idx="455">
                  <c:v>0.54999999999994742</c:v>
                </c:pt>
                <c:pt idx="456">
                  <c:v>0.55999999999994721</c:v>
                </c:pt>
                <c:pt idx="457">
                  <c:v>0.56999999999994699</c:v>
                </c:pt>
                <c:pt idx="458">
                  <c:v>0.57999999999994678</c:v>
                </c:pt>
                <c:pt idx="459">
                  <c:v>0.58999999999994657</c:v>
                </c:pt>
                <c:pt idx="460">
                  <c:v>0.59999999999994635</c:v>
                </c:pt>
                <c:pt idx="461">
                  <c:v>0.60999999999994614</c:v>
                </c:pt>
                <c:pt idx="462">
                  <c:v>0.61999999999994593</c:v>
                </c:pt>
                <c:pt idx="463">
                  <c:v>0.62999999999994571</c:v>
                </c:pt>
                <c:pt idx="464">
                  <c:v>0.6399999999999455</c:v>
                </c:pt>
                <c:pt idx="465">
                  <c:v>0.64999999999994529</c:v>
                </c:pt>
                <c:pt idx="466">
                  <c:v>0.65999999999994508</c:v>
                </c:pt>
                <c:pt idx="467">
                  <c:v>0.66999999999994486</c:v>
                </c:pt>
                <c:pt idx="468">
                  <c:v>0.67999999999994465</c:v>
                </c:pt>
                <c:pt idx="469">
                  <c:v>0.68999999999994444</c:v>
                </c:pt>
                <c:pt idx="470">
                  <c:v>0.69999999999994422</c:v>
                </c:pt>
                <c:pt idx="471">
                  <c:v>0.70999999999994401</c:v>
                </c:pt>
                <c:pt idx="472">
                  <c:v>0.7199999999999438</c:v>
                </c:pt>
                <c:pt idx="473">
                  <c:v>0.72999999999994358</c:v>
                </c:pt>
                <c:pt idx="474">
                  <c:v>0.73999999999994337</c:v>
                </c:pt>
                <c:pt idx="475">
                  <c:v>0.74999999999994316</c:v>
                </c:pt>
                <c:pt idx="476">
                  <c:v>0.75999999999994294</c:v>
                </c:pt>
                <c:pt idx="477">
                  <c:v>0.76999999999994273</c:v>
                </c:pt>
                <c:pt idx="478">
                  <c:v>0.77999999999994252</c:v>
                </c:pt>
                <c:pt idx="479">
                  <c:v>0.7899999999999423</c:v>
                </c:pt>
                <c:pt idx="480">
                  <c:v>0.79999999999994209</c:v>
                </c:pt>
                <c:pt idx="481">
                  <c:v>0.80999999999994188</c:v>
                </c:pt>
                <c:pt idx="482">
                  <c:v>0.81999999999994166</c:v>
                </c:pt>
                <c:pt idx="483">
                  <c:v>0.82999999999994145</c:v>
                </c:pt>
                <c:pt idx="484">
                  <c:v>0.83999999999994124</c:v>
                </c:pt>
                <c:pt idx="485">
                  <c:v>0.84999999999994102</c:v>
                </c:pt>
                <c:pt idx="486">
                  <c:v>0.85999999999994081</c:v>
                </c:pt>
                <c:pt idx="487">
                  <c:v>0.8699999999999406</c:v>
                </c:pt>
                <c:pt idx="488">
                  <c:v>0.87999999999994039</c:v>
                </c:pt>
                <c:pt idx="489">
                  <c:v>0.88999999999994017</c:v>
                </c:pt>
                <c:pt idx="490">
                  <c:v>0.89999999999993996</c:v>
                </c:pt>
                <c:pt idx="491">
                  <c:v>0.90999999999993975</c:v>
                </c:pt>
                <c:pt idx="492">
                  <c:v>0.91999999999993953</c:v>
                </c:pt>
                <c:pt idx="493">
                  <c:v>0.92999999999993932</c:v>
                </c:pt>
                <c:pt idx="494">
                  <c:v>0.93999999999993911</c:v>
                </c:pt>
                <c:pt idx="495">
                  <c:v>0.94999999999993889</c:v>
                </c:pt>
                <c:pt idx="496">
                  <c:v>0.95999999999993868</c:v>
                </c:pt>
                <c:pt idx="497">
                  <c:v>0.96999999999993847</c:v>
                </c:pt>
                <c:pt idx="498">
                  <c:v>0.97999999999993825</c:v>
                </c:pt>
                <c:pt idx="499">
                  <c:v>0.98999999999993804</c:v>
                </c:pt>
                <c:pt idx="500">
                  <c:v>0.99999999999993783</c:v>
                </c:pt>
                <c:pt idx="501">
                  <c:v>0.99000000000006239</c:v>
                </c:pt>
                <c:pt idx="502">
                  <c:v>0.9800000000000626</c:v>
                </c:pt>
                <c:pt idx="503">
                  <c:v>0.97000000000006281</c:v>
                </c:pt>
                <c:pt idx="504">
                  <c:v>0.96000000000006303</c:v>
                </c:pt>
                <c:pt idx="505">
                  <c:v>0.95000000000006324</c:v>
                </c:pt>
                <c:pt idx="506">
                  <c:v>0.94000000000006345</c:v>
                </c:pt>
                <c:pt idx="507">
                  <c:v>0.93000000000006366</c:v>
                </c:pt>
                <c:pt idx="508">
                  <c:v>0.92000000000006388</c:v>
                </c:pt>
                <c:pt idx="509">
                  <c:v>0.91000000000006409</c:v>
                </c:pt>
                <c:pt idx="510">
                  <c:v>0.9000000000000643</c:v>
                </c:pt>
                <c:pt idx="511">
                  <c:v>0.89000000000006452</c:v>
                </c:pt>
                <c:pt idx="512">
                  <c:v>0.88000000000006473</c:v>
                </c:pt>
                <c:pt idx="513">
                  <c:v>0.87000000000006494</c:v>
                </c:pt>
                <c:pt idx="514">
                  <c:v>0.86000000000006516</c:v>
                </c:pt>
                <c:pt idx="515">
                  <c:v>0.85000000000006537</c:v>
                </c:pt>
                <c:pt idx="516">
                  <c:v>0.84000000000006558</c:v>
                </c:pt>
                <c:pt idx="517">
                  <c:v>0.8300000000000658</c:v>
                </c:pt>
                <c:pt idx="518">
                  <c:v>0.82000000000006601</c:v>
                </c:pt>
                <c:pt idx="519">
                  <c:v>0.81000000000006622</c:v>
                </c:pt>
                <c:pt idx="520">
                  <c:v>0.80000000000006644</c:v>
                </c:pt>
                <c:pt idx="521">
                  <c:v>0.79000000000006665</c:v>
                </c:pt>
                <c:pt idx="522">
                  <c:v>0.78000000000006686</c:v>
                </c:pt>
                <c:pt idx="523">
                  <c:v>0.77000000000006708</c:v>
                </c:pt>
                <c:pt idx="524">
                  <c:v>0.76000000000006729</c:v>
                </c:pt>
                <c:pt idx="525">
                  <c:v>0.7500000000000675</c:v>
                </c:pt>
                <c:pt idx="526">
                  <c:v>0.74000000000006771</c:v>
                </c:pt>
                <c:pt idx="527">
                  <c:v>0.73000000000006793</c:v>
                </c:pt>
                <c:pt idx="528">
                  <c:v>0.72000000000006814</c:v>
                </c:pt>
                <c:pt idx="529">
                  <c:v>0.71000000000006835</c:v>
                </c:pt>
                <c:pt idx="530">
                  <c:v>0.70000000000006857</c:v>
                </c:pt>
                <c:pt idx="531">
                  <c:v>0.69000000000006878</c:v>
                </c:pt>
                <c:pt idx="532">
                  <c:v>0.68000000000006899</c:v>
                </c:pt>
                <c:pt idx="533">
                  <c:v>0.67000000000006921</c:v>
                </c:pt>
                <c:pt idx="534">
                  <c:v>0.66000000000006942</c:v>
                </c:pt>
                <c:pt idx="535">
                  <c:v>0.65000000000006963</c:v>
                </c:pt>
                <c:pt idx="536">
                  <c:v>0.64000000000006985</c:v>
                </c:pt>
                <c:pt idx="537">
                  <c:v>0.63000000000007006</c:v>
                </c:pt>
                <c:pt idx="538">
                  <c:v>0.62000000000007027</c:v>
                </c:pt>
                <c:pt idx="539">
                  <c:v>0.61000000000007049</c:v>
                </c:pt>
                <c:pt idx="540">
                  <c:v>0.6000000000000707</c:v>
                </c:pt>
                <c:pt idx="541">
                  <c:v>0.59000000000007091</c:v>
                </c:pt>
                <c:pt idx="542">
                  <c:v>0.58000000000007113</c:v>
                </c:pt>
                <c:pt idx="543">
                  <c:v>0.57000000000007134</c:v>
                </c:pt>
                <c:pt idx="544">
                  <c:v>0.56000000000007155</c:v>
                </c:pt>
                <c:pt idx="545">
                  <c:v>0.55000000000007176</c:v>
                </c:pt>
                <c:pt idx="546">
                  <c:v>0.54000000000007198</c:v>
                </c:pt>
                <c:pt idx="547">
                  <c:v>0.53000000000007219</c:v>
                </c:pt>
                <c:pt idx="548">
                  <c:v>0.5200000000000724</c:v>
                </c:pt>
                <c:pt idx="549">
                  <c:v>0.51000000000007262</c:v>
                </c:pt>
                <c:pt idx="550">
                  <c:v>0.50000000000007283</c:v>
                </c:pt>
                <c:pt idx="551">
                  <c:v>0.49000000000007304</c:v>
                </c:pt>
                <c:pt idx="552">
                  <c:v>0.48000000000007326</c:v>
                </c:pt>
                <c:pt idx="553">
                  <c:v>0.47000000000007347</c:v>
                </c:pt>
                <c:pt idx="554">
                  <c:v>0.46000000000007368</c:v>
                </c:pt>
                <c:pt idx="555">
                  <c:v>0.4500000000000739</c:v>
                </c:pt>
                <c:pt idx="556">
                  <c:v>0.44000000000007411</c:v>
                </c:pt>
                <c:pt idx="557">
                  <c:v>0.43000000000007432</c:v>
                </c:pt>
                <c:pt idx="558">
                  <c:v>0.42000000000007454</c:v>
                </c:pt>
                <c:pt idx="559">
                  <c:v>0.41000000000007475</c:v>
                </c:pt>
                <c:pt idx="560">
                  <c:v>0.40000000000007496</c:v>
                </c:pt>
                <c:pt idx="561">
                  <c:v>0.39000000000007518</c:v>
                </c:pt>
                <c:pt idx="562">
                  <c:v>0.38000000000007539</c:v>
                </c:pt>
                <c:pt idx="563">
                  <c:v>0.3700000000000756</c:v>
                </c:pt>
                <c:pt idx="564">
                  <c:v>0.36000000000007581</c:v>
                </c:pt>
                <c:pt idx="565">
                  <c:v>0.35000000000007603</c:v>
                </c:pt>
                <c:pt idx="566">
                  <c:v>0.34000000000007624</c:v>
                </c:pt>
                <c:pt idx="567">
                  <c:v>0.33000000000007645</c:v>
                </c:pt>
                <c:pt idx="568">
                  <c:v>0.32000000000007667</c:v>
                </c:pt>
                <c:pt idx="569">
                  <c:v>0.31000000000007688</c:v>
                </c:pt>
                <c:pt idx="570">
                  <c:v>0.30000000000007709</c:v>
                </c:pt>
                <c:pt idx="571">
                  <c:v>0.29000000000007731</c:v>
                </c:pt>
                <c:pt idx="572">
                  <c:v>0.28000000000007752</c:v>
                </c:pt>
                <c:pt idx="573">
                  <c:v>0.27000000000007773</c:v>
                </c:pt>
                <c:pt idx="574">
                  <c:v>0.26000000000007795</c:v>
                </c:pt>
                <c:pt idx="575">
                  <c:v>0.25000000000007816</c:v>
                </c:pt>
                <c:pt idx="576">
                  <c:v>0.24000000000007837</c:v>
                </c:pt>
                <c:pt idx="577">
                  <c:v>0.23000000000007859</c:v>
                </c:pt>
                <c:pt idx="578">
                  <c:v>0.2200000000000788</c:v>
                </c:pt>
                <c:pt idx="579">
                  <c:v>0.21000000000007901</c:v>
                </c:pt>
                <c:pt idx="580">
                  <c:v>0.20000000000007923</c:v>
                </c:pt>
                <c:pt idx="581">
                  <c:v>0.19000000000007944</c:v>
                </c:pt>
                <c:pt idx="582">
                  <c:v>0.18000000000007965</c:v>
                </c:pt>
                <c:pt idx="583">
                  <c:v>0.17000000000007987</c:v>
                </c:pt>
                <c:pt idx="584">
                  <c:v>0.16000000000008008</c:v>
                </c:pt>
                <c:pt idx="585">
                  <c:v>0.15000000000008029</c:v>
                </c:pt>
                <c:pt idx="586">
                  <c:v>0.1400000000000805</c:v>
                </c:pt>
                <c:pt idx="587">
                  <c:v>0.13000000000008072</c:v>
                </c:pt>
                <c:pt idx="588">
                  <c:v>0.12000000000008093</c:v>
                </c:pt>
                <c:pt idx="589">
                  <c:v>0.11000000000008114</c:v>
                </c:pt>
                <c:pt idx="590">
                  <c:v>0.10000000000008136</c:v>
                </c:pt>
                <c:pt idx="591">
                  <c:v>9.000000000008157E-2</c:v>
                </c:pt>
                <c:pt idx="592">
                  <c:v>8.0000000000081783E-2</c:v>
                </c:pt>
                <c:pt idx="593">
                  <c:v>7.0000000000081997E-2</c:v>
                </c:pt>
                <c:pt idx="594">
                  <c:v>6.000000000008221E-2</c:v>
                </c:pt>
                <c:pt idx="595">
                  <c:v>5.0000000000082423E-2</c:v>
                </c:pt>
                <c:pt idx="596">
                  <c:v>4.0000000000082636E-2</c:v>
                </c:pt>
                <c:pt idx="597">
                  <c:v>3.0000000000082849E-2</c:v>
                </c:pt>
                <c:pt idx="598">
                  <c:v>2.0000000000083062E-2</c:v>
                </c:pt>
                <c:pt idx="599">
                  <c:v>1.0000000000083276E-2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0-49B2-85C7-8C3CA22C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2 Fx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Calced'!$E:$E</c:f>
              <c:numCache>
                <c:formatCode>General</c:formatCode>
                <c:ptCount val="1048576"/>
                <c:pt idx="1">
                  <c:v>1.0000000000083276E-2</c:v>
                </c:pt>
                <c:pt idx="2">
                  <c:v>1.0000000000083276E-2</c:v>
                </c:pt>
                <c:pt idx="3">
                  <c:v>1.0000000000083276E-2</c:v>
                </c:pt>
                <c:pt idx="4">
                  <c:v>1.0000000000083276E-2</c:v>
                </c:pt>
                <c:pt idx="5">
                  <c:v>1.0000000000083276E-2</c:v>
                </c:pt>
                <c:pt idx="6">
                  <c:v>1.0000000000083276E-2</c:v>
                </c:pt>
                <c:pt idx="7">
                  <c:v>1.0000000000083276E-2</c:v>
                </c:pt>
                <c:pt idx="8">
                  <c:v>1.0000000000083276E-2</c:v>
                </c:pt>
                <c:pt idx="9">
                  <c:v>1.0000000000083276E-2</c:v>
                </c:pt>
                <c:pt idx="10">
                  <c:v>1.0000000000083276E-2</c:v>
                </c:pt>
                <c:pt idx="11">
                  <c:v>1.0000000000083276E-2</c:v>
                </c:pt>
                <c:pt idx="12">
                  <c:v>1.0000000000083276E-2</c:v>
                </c:pt>
                <c:pt idx="13">
                  <c:v>1.0000000000083276E-2</c:v>
                </c:pt>
                <c:pt idx="14">
                  <c:v>1.0000000000083276E-2</c:v>
                </c:pt>
                <c:pt idx="15">
                  <c:v>1.0000000000083276E-2</c:v>
                </c:pt>
                <c:pt idx="16">
                  <c:v>1.0000000000083276E-2</c:v>
                </c:pt>
                <c:pt idx="17">
                  <c:v>1.0000000000083276E-2</c:v>
                </c:pt>
                <c:pt idx="18">
                  <c:v>1.0000000000083276E-2</c:v>
                </c:pt>
                <c:pt idx="19">
                  <c:v>1.0000000000083276E-2</c:v>
                </c:pt>
                <c:pt idx="20">
                  <c:v>1.0000000000083276E-2</c:v>
                </c:pt>
                <c:pt idx="21">
                  <c:v>1.0000000000083276E-2</c:v>
                </c:pt>
                <c:pt idx="22">
                  <c:v>1.0000000000083276E-2</c:v>
                </c:pt>
                <c:pt idx="23">
                  <c:v>1.0000000000083276E-2</c:v>
                </c:pt>
                <c:pt idx="24">
                  <c:v>1.0000000000083276E-2</c:v>
                </c:pt>
                <c:pt idx="25">
                  <c:v>1.0000000000083276E-2</c:v>
                </c:pt>
                <c:pt idx="26">
                  <c:v>1.0000000000083276E-2</c:v>
                </c:pt>
                <c:pt idx="27">
                  <c:v>1.0000000000083276E-2</c:v>
                </c:pt>
                <c:pt idx="28">
                  <c:v>1.0000000000083276E-2</c:v>
                </c:pt>
                <c:pt idx="29">
                  <c:v>1.0000000000083276E-2</c:v>
                </c:pt>
                <c:pt idx="30">
                  <c:v>1.0000000000083276E-2</c:v>
                </c:pt>
                <c:pt idx="31">
                  <c:v>1.0000000000083276E-2</c:v>
                </c:pt>
                <c:pt idx="32">
                  <c:v>1.0000000000083276E-2</c:v>
                </c:pt>
                <c:pt idx="33">
                  <c:v>1.0000000000083276E-2</c:v>
                </c:pt>
                <c:pt idx="34">
                  <c:v>1.0000000000083276E-2</c:v>
                </c:pt>
                <c:pt idx="35">
                  <c:v>1.0000000000083276E-2</c:v>
                </c:pt>
                <c:pt idx="36">
                  <c:v>1.0000000000083276E-2</c:v>
                </c:pt>
                <c:pt idx="37">
                  <c:v>1.0000000000083276E-2</c:v>
                </c:pt>
                <c:pt idx="38">
                  <c:v>1.0000000000083276E-2</c:v>
                </c:pt>
                <c:pt idx="39">
                  <c:v>1.0000000000083276E-2</c:v>
                </c:pt>
                <c:pt idx="40">
                  <c:v>1.0000000000083276E-2</c:v>
                </c:pt>
                <c:pt idx="41">
                  <c:v>1.0000000000083276E-2</c:v>
                </c:pt>
                <c:pt idx="42">
                  <c:v>1.0000000000083276E-2</c:v>
                </c:pt>
                <c:pt idx="43">
                  <c:v>1.0000000000083276E-2</c:v>
                </c:pt>
                <c:pt idx="44">
                  <c:v>1.0000000000083276E-2</c:v>
                </c:pt>
                <c:pt idx="45">
                  <c:v>1.0000000000083276E-2</c:v>
                </c:pt>
                <c:pt idx="46">
                  <c:v>1.0000000000083276E-2</c:v>
                </c:pt>
                <c:pt idx="47">
                  <c:v>1.0000000000083276E-2</c:v>
                </c:pt>
                <c:pt idx="48">
                  <c:v>1.0000000000083276E-2</c:v>
                </c:pt>
                <c:pt idx="49">
                  <c:v>1.0000000000083276E-2</c:v>
                </c:pt>
                <c:pt idx="50">
                  <c:v>1.0000000000083276E-2</c:v>
                </c:pt>
                <c:pt idx="51">
                  <c:v>1.0000000000083276E-2</c:v>
                </c:pt>
                <c:pt idx="52">
                  <c:v>1.0000000000083276E-2</c:v>
                </c:pt>
                <c:pt idx="53">
                  <c:v>1.0000000000083276E-2</c:v>
                </c:pt>
                <c:pt idx="54">
                  <c:v>1.0000000000083276E-2</c:v>
                </c:pt>
                <c:pt idx="55">
                  <c:v>1.0000000000083276E-2</c:v>
                </c:pt>
                <c:pt idx="56">
                  <c:v>1.0000000000083276E-2</c:v>
                </c:pt>
                <c:pt idx="57">
                  <c:v>1.0000000000083276E-2</c:v>
                </c:pt>
                <c:pt idx="58">
                  <c:v>1.0000000000083276E-2</c:v>
                </c:pt>
                <c:pt idx="59">
                  <c:v>1.0000000000083276E-2</c:v>
                </c:pt>
                <c:pt idx="60">
                  <c:v>1.0000000000083276E-2</c:v>
                </c:pt>
                <c:pt idx="61">
                  <c:v>1.0000000000083276E-2</c:v>
                </c:pt>
                <c:pt idx="62">
                  <c:v>1.0000000000083276E-2</c:v>
                </c:pt>
                <c:pt idx="63">
                  <c:v>1.0000000000083276E-2</c:v>
                </c:pt>
                <c:pt idx="64">
                  <c:v>1.0000000000083276E-2</c:v>
                </c:pt>
                <c:pt idx="65">
                  <c:v>1.0000000000083276E-2</c:v>
                </c:pt>
                <c:pt idx="66">
                  <c:v>1.0000000000083276E-2</c:v>
                </c:pt>
                <c:pt idx="67">
                  <c:v>1.0000000000083276E-2</c:v>
                </c:pt>
                <c:pt idx="68">
                  <c:v>1.0000000000083276E-2</c:v>
                </c:pt>
                <c:pt idx="69">
                  <c:v>1.0000000000083276E-2</c:v>
                </c:pt>
                <c:pt idx="70">
                  <c:v>1.0000000000083276E-2</c:v>
                </c:pt>
                <c:pt idx="71">
                  <c:v>1.0000000000083276E-2</c:v>
                </c:pt>
                <c:pt idx="72">
                  <c:v>1.0000000000083276E-2</c:v>
                </c:pt>
                <c:pt idx="73">
                  <c:v>1.0000000000083276E-2</c:v>
                </c:pt>
                <c:pt idx="74">
                  <c:v>1.0000000000083276E-2</c:v>
                </c:pt>
                <c:pt idx="75">
                  <c:v>1.0000000000083276E-2</c:v>
                </c:pt>
                <c:pt idx="76">
                  <c:v>1.0000000000083276E-2</c:v>
                </c:pt>
                <c:pt idx="77">
                  <c:v>1.0000000000083276E-2</c:v>
                </c:pt>
                <c:pt idx="78">
                  <c:v>1.0000000000083276E-2</c:v>
                </c:pt>
                <c:pt idx="79">
                  <c:v>1.0000000000083276E-2</c:v>
                </c:pt>
                <c:pt idx="80">
                  <c:v>1.0000000000083276E-2</c:v>
                </c:pt>
                <c:pt idx="81">
                  <c:v>1.0000000000083276E-2</c:v>
                </c:pt>
                <c:pt idx="82">
                  <c:v>1.0000000000083276E-2</c:v>
                </c:pt>
                <c:pt idx="83">
                  <c:v>1.0000000000083276E-2</c:v>
                </c:pt>
                <c:pt idx="84">
                  <c:v>1.0000000000083276E-2</c:v>
                </c:pt>
                <c:pt idx="85">
                  <c:v>1.0000000000083276E-2</c:v>
                </c:pt>
                <c:pt idx="86">
                  <c:v>1.0000000000083276E-2</c:v>
                </c:pt>
                <c:pt idx="87">
                  <c:v>1.0000000000083276E-2</c:v>
                </c:pt>
                <c:pt idx="88">
                  <c:v>1.0000000000083276E-2</c:v>
                </c:pt>
                <c:pt idx="89">
                  <c:v>1.0000000000083276E-2</c:v>
                </c:pt>
                <c:pt idx="90">
                  <c:v>1.0000000000083276E-2</c:v>
                </c:pt>
                <c:pt idx="91">
                  <c:v>1.0000000000083276E-2</c:v>
                </c:pt>
                <c:pt idx="92">
                  <c:v>1.0000000000083276E-2</c:v>
                </c:pt>
                <c:pt idx="93">
                  <c:v>1.0000000000083276E-2</c:v>
                </c:pt>
                <c:pt idx="94">
                  <c:v>1.0000000000083276E-2</c:v>
                </c:pt>
                <c:pt idx="95">
                  <c:v>1.0000000000083276E-2</c:v>
                </c:pt>
                <c:pt idx="96">
                  <c:v>1.0000000000083276E-2</c:v>
                </c:pt>
                <c:pt idx="97">
                  <c:v>1.0000000000083276E-2</c:v>
                </c:pt>
                <c:pt idx="98">
                  <c:v>1.0000000000083276E-2</c:v>
                </c:pt>
                <c:pt idx="99">
                  <c:v>1.0000000000083276E-2</c:v>
                </c:pt>
                <c:pt idx="100">
                  <c:v>6.6613381477509392E-16</c:v>
                </c:pt>
                <c:pt idx="101">
                  <c:v>1.0000000000000675E-2</c:v>
                </c:pt>
                <c:pt idx="102">
                  <c:v>2.0000000000000684E-2</c:v>
                </c:pt>
                <c:pt idx="103">
                  <c:v>3.0000000000000693E-2</c:v>
                </c:pt>
                <c:pt idx="104">
                  <c:v>4.0000000000000702E-2</c:v>
                </c:pt>
                <c:pt idx="105">
                  <c:v>5.0000000000000711E-2</c:v>
                </c:pt>
                <c:pt idx="106">
                  <c:v>6.0000000000000719E-2</c:v>
                </c:pt>
                <c:pt idx="107">
                  <c:v>7.0000000000000728E-2</c:v>
                </c:pt>
                <c:pt idx="108">
                  <c:v>8.0000000000000737E-2</c:v>
                </c:pt>
                <c:pt idx="109">
                  <c:v>9.0000000000000746E-2</c:v>
                </c:pt>
                <c:pt idx="110">
                  <c:v>0.10000000000000075</c:v>
                </c:pt>
                <c:pt idx="111">
                  <c:v>0.11000000000000076</c:v>
                </c:pt>
                <c:pt idx="112">
                  <c:v>0.12000000000000077</c:v>
                </c:pt>
                <c:pt idx="113">
                  <c:v>0.13000000000000078</c:v>
                </c:pt>
                <c:pt idx="114">
                  <c:v>0.14000000000000079</c:v>
                </c:pt>
                <c:pt idx="115">
                  <c:v>0.1500000000000008</c:v>
                </c:pt>
                <c:pt idx="116">
                  <c:v>0.16000000000000081</c:v>
                </c:pt>
                <c:pt idx="117">
                  <c:v>0.17000000000000082</c:v>
                </c:pt>
                <c:pt idx="118">
                  <c:v>0.18000000000000083</c:v>
                </c:pt>
                <c:pt idx="119">
                  <c:v>0.19000000000000083</c:v>
                </c:pt>
                <c:pt idx="120">
                  <c:v>0.20000000000000084</c:v>
                </c:pt>
                <c:pt idx="121">
                  <c:v>0.21000000000000085</c:v>
                </c:pt>
                <c:pt idx="122">
                  <c:v>0.22000000000000086</c:v>
                </c:pt>
                <c:pt idx="123">
                  <c:v>0.23000000000000087</c:v>
                </c:pt>
                <c:pt idx="124">
                  <c:v>0.24000000000000088</c:v>
                </c:pt>
                <c:pt idx="125">
                  <c:v>0.25000000000000089</c:v>
                </c:pt>
                <c:pt idx="126">
                  <c:v>0.2600000000000009</c:v>
                </c:pt>
                <c:pt idx="127">
                  <c:v>0.27000000000000091</c:v>
                </c:pt>
                <c:pt idx="128">
                  <c:v>0.28000000000000091</c:v>
                </c:pt>
                <c:pt idx="129">
                  <c:v>0.29000000000000092</c:v>
                </c:pt>
                <c:pt idx="130">
                  <c:v>0.30000000000000093</c:v>
                </c:pt>
                <c:pt idx="131">
                  <c:v>0.31000000000000094</c:v>
                </c:pt>
                <c:pt idx="132">
                  <c:v>0.32000000000000095</c:v>
                </c:pt>
                <c:pt idx="133">
                  <c:v>0.33000000000000096</c:v>
                </c:pt>
                <c:pt idx="134">
                  <c:v>0.34000000000000097</c:v>
                </c:pt>
                <c:pt idx="135">
                  <c:v>0.35000000000000098</c:v>
                </c:pt>
                <c:pt idx="136">
                  <c:v>0.36000000000000099</c:v>
                </c:pt>
                <c:pt idx="137">
                  <c:v>0.37000000000000099</c:v>
                </c:pt>
                <c:pt idx="138">
                  <c:v>0.380000000000001</c:v>
                </c:pt>
                <c:pt idx="139">
                  <c:v>0.39000000000000101</c:v>
                </c:pt>
                <c:pt idx="140">
                  <c:v>0.40000000000000102</c:v>
                </c:pt>
                <c:pt idx="141">
                  <c:v>0.41000000000000103</c:v>
                </c:pt>
                <c:pt idx="142">
                  <c:v>0.42000000000000104</c:v>
                </c:pt>
                <c:pt idx="143">
                  <c:v>0.43000000000000105</c:v>
                </c:pt>
                <c:pt idx="144">
                  <c:v>0.44000000000000106</c:v>
                </c:pt>
                <c:pt idx="145">
                  <c:v>0.45000000000000107</c:v>
                </c:pt>
                <c:pt idx="146">
                  <c:v>0.46000000000000107</c:v>
                </c:pt>
                <c:pt idx="147">
                  <c:v>0.47000000000000108</c:v>
                </c:pt>
                <c:pt idx="148">
                  <c:v>0.48000000000000109</c:v>
                </c:pt>
                <c:pt idx="149">
                  <c:v>0.4900000000000011</c:v>
                </c:pt>
                <c:pt idx="150">
                  <c:v>0.50000000000000111</c:v>
                </c:pt>
                <c:pt idx="151">
                  <c:v>0.51000000000000112</c:v>
                </c:pt>
                <c:pt idx="152">
                  <c:v>0.52000000000000113</c:v>
                </c:pt>
                <c:pt idx="153">
                  <c:v>0.53000000000000114</c:v>
                </c:pt>
                <c:pt idx="154">
                  <c:v>0.54000000000000115</c:v>
                </c:pt>
                <c:pt idx="155">
                  <c:v>0.55000000000000115</c:v>
                </c:pt>
                <c:pt idx="156">
                  <c:v>0.56000000000000116</c:v>
                </c:pt>
                <c:pt idx="157">
                  <c:v>0.57000000000000117</c:v>
                </c:pt>
                <c:pt idx="158">
                  <c:v>0.58000000000000118</c:v>
                </c:pt>
                <c:pt idx="159">
                  <c:v>0.59000000000000119</c:v>
                </c:pt>
                <c:pt idx="160">
                  <c:v>0.6000000000000012</c:v>
                </c:pt>
                <c:pt idx="161">
                  <c:v>0.61000000000000121</c:v>
                </c:pt>
                <c:pt idx="162">
                  <c:v>0.62000000000000122</c:v>
                </c:pt>
                <c:pt idx="163">
                  <c:v>0.63000000000000123</c:v>
                </c:pt>
                <c:pt idx="164">
                  <c:v>0.64000000000000123</c:v>
                </c:pt>
                <c:pt idx="165">
                  <c:v>0.65000000000000124</c:v>
                </c:pt>
                <c:pt idx="166">
                  <c:v>0.66000000000000125</c:v>
                </c:pt>
                <c:pt idx="167">
                  <c:v>0.67000000000000126</c:v>
                </c:pt>
                <c:pt idx="168">
                  <c:v>0.68000000000000127</c:v>
                </c:pt>
                <c:pt idx="169">
                  <c:v>0.69000000000000128</c:v>
                </c:pt>
                <c:pt idx="170">
                  <c:v>0.70000000000000129</c:v>
                </c:pt>
                <c:pt idx="171">
                  <c:v>0.7100000000000013</c:v>
                </c:pt>
                <c:pt idx="172">
                  <c:v>0.72000000000000131</c:v>
                </c:pt>
                <c:pt idx="173">
                  <c:v>0.73000000000000131</c:v>
                </c:pt>
                <c:pt idx="174">
                  <c:v>0.74000000000000132</c:v>
                </c:pt>
                <c:pt idx="175">
                  <c:v>0.75000000000000133</c:v>
                </c:pt>
                <c:pt idx="176">
                  <c:v>0.76000000000000134</c:v>
                </c:pt>
                <c:pt idx="177">
                  <c:v>0.77000000000000135</c:v>
                </c:pt>
                <c:pt idx="178">
                  <c:v>0.78000000000000136</c:v>
                </c:pt>
                <c:pt idx="179">
                  <c:v>0.79000000000000137</c:v>
                </c:pt>
                <c:pt idx="180">
                  <c:v>0.80000000000000138</c:v>
                </c:pt>
                <c:pt idx="181">
                  <c:v>0.81000000000000139</c:v>
                </c:pt>
                <c:pt idx="182">
                  <c:v>0.82000000000000139</c:v>
                </c:pt>
                <c:pt idx="183">
                  <c:v>0.8300000000000014</c:v>
                </c:pt>
                <c:pt idx="184">
                  <c:v>0.84000000000000141</c:v>
                </c:pt>
                <c:pt idx="185">
                  <c:v>0.85000000000000142</c:v>
                </c:pt>
                <c:pt idx="186">
                  <c:v>0.86000000000000143</c:v>
                </c:pt>
                <c:pt idx="187">
                  <c:v>0.87000000000000144</c:v>
                </c:pt>
                <c:pt idx="188">
                  <c:v>0.88000000000000145</c:v>
                </c:pt>
                <c:pt idx="189">
                  <c:v>0.89000000000000146</c:v>
                </c:pt>
                <c:pt idx="190">
                  <c:v>0.90000000000000147</c:v>
                </c:pt>
                <c:pt idx="191">
                  <c:v>0.91000000000000147</c:v>
                </c:pt>
                <c:pt idx="192">
                  <c:v>0.92000000000000148</c:v>
                </c:pt>
                <c:pt idx="193">
                  <c:v>0.93000000000000149</c:v>
                </c:pt>
                <c:pt idx="194">
                  <c:v>0.9400000000000015</c:v>
                </c:pt>
                <c:pt idx="195">
                  <c:v>0.95000000000000151</c:v>
                </c:pt>
                <c:pt idx="196">
                  <c:v>0.96000000000000152</c:v>
                </c:pt>
                <c:pt idx="197">
                  <c:v>0.97000000000000153</c:v>
                </c:pt>
                <c:pt idx="198">
                  <c:v>0.98000000000000154</c:v>
                </c:pt>
                <c:pt idx="199">
                  <c:v>0.99000000000000155</c:v>
                </c:pt>
                <c:pt idx="200">
                  <c:v>0.99999999999999867</c:v>
                </c:pt>
                <c:pt idx="201">
                  <c:v>0.98999999999999888</c:v>
                </c:pt>
                <c:pt idx="202">
                  <c:v>0.97999999999999909</c:v>
                </c:pt>
                <c:pt idx="203">
                  <c:v>0.96999999999999931</c:v>
                </c:pt>
                <c:pt idx="204">
                  <c:v>0.95999999999999952</c:v>
                </c:pt>
                <c:pt idx="205">
                  <c:v>0.94999999999999973</c:v>
                </c:pt>
                <c:pt idx="206">
                  <c:v>0.94</c:v>
                </c:pt>
                <c:pt idx="207">
                  <c:v>0.93000000000000016</c:v>
                </c:pt>
                <c:pt idx="208">
                  <c:v>0.92000000000000037</c:v>
                </c:pt>
                <c:pt idx="209">
                  <c:v>0.91000000000000059</c:v>
                </c:pt>
                <c:pt idx="210">
                  <c:v>0.9000000000000008</c:v>
                </c:pt>
                <c:pt idx="211">
                  <c:v>0.89000000000000101</c:v>
                </c:pt>
                <c:pt idx="212">
                  <c:v>0.88000000000000123</c:v>
                </c:pt>
                <c:pt idx="213">
                  <c:v>0.87000000000000144</c:v>
                </c:pt>
                <c:pt idx="214">
                  <c:v>0.86000000000000165</c:v>
                </c:pt>
                <c:pt idx="215">
                  <c:v>0.85000000000000187</c:v>
                </c:pt>
                <c:pt idx="216">
                  <c:v>0.84000000000000208</c:v>
                </c:pt>
                <c:pt idx="217">
                  <c:v>0.83000000000000229</c:v>
                </c:pt>
                <c:pt idx="218">
                  <c:v>0.8200000000000025</c:v>
                </c:pt>
                <c:pt idx="219">
                  <c:v>0.81000000000000272</c:v>
                </c:pt>
                <c:pt idx="220">
                  <c:v>0.80000000000000293</c:v>
                </c:pt>
                <c:pt idx="221">
                  <c:v>0.79000000000000314</c:v>
                </c:pt>
                <c:pt idx="222">
                  <c:v>0.78000000000000336</c:v>
                </c:pt>
                <c:pt idx="223">
                  <c:v>0.77000000000000357</c:v>
                </c:pt>
                <c:pt idx="224">
                  <c:v>0.76000000000000378</c:v>
                </c:pt>
                <c:pt idx="225">
                  <c:v>0.750000000000004</c:v>
                </c:pt>
                <c:pt idx="226">
                  <c:v>0.74000000000000421</c:v>
                </c:pt>
                <c:pt idx="227">
                  <c:v>0.73000000000000442</c:v>
                </c:pt>
                <c:pt idx="228">
                  <c:v>0.72000000000000464</c:v>
                </c:pt>
                <c:pt idx="229">
                  <c:v>0.71000000000000485</c:v>
                </c:pt>
                <c:pt idx="230">
                  <c:v>0.70000000000000506</c:v>
                </c:pt>
                <c:pt idx="231">
                  <c:v>0.69000000000000528</c:v>
                </c:pt>
                <c:pt idx="232">
                  <c:v>0.68000000000000549</c:v>
                </c:pt>
                <c:pt idx="233">
                  <c:v>0.6700000000000057</c:v>
                </c:pt>
                <c:pt idx="234">
                  <c:v>0.66000000000000592</c:v>
                </c:pt>
                <c:pt idx="235">
                  <c:v>0.65000000000000613</c:v>
                </c:pt>
                <c:pt idx="236">
                  <c:v>0.64000000000000634</c:v>
                </c:pt>
                <c:pt idx="237">
                  <c:v>0.63000000000000655</c:v>
                </c:pt>
                <c:pt idx="238">
                  <c:v>0.62000000000000677</c:v>
                </c:pt>
                <c:pt idx="239">
                  <c:v>0.61000000000000698</c:v>
                </c:pt>
                <c:pt idx="240">
                  <c:v>0.60000000000000719</c:v>
                </c:pt>
                <c:pt idx="241">
                  <c:v>0.59000000000000741</c:v>
                </c:pt>
                <c:pt idx="242">
                  <c:v>0.58000000000000762</c:v>
                </c:pt>
                <c:pt idx="243">
                  <c:v>0.57000000000000783</c:v>
                </c:pt>
                <c:pt idx="244">
                  <c:v>0.56000000000000805</c:v>
                </c:pt>
                <c:pt idx="245">
                  <c:v>0.55000000000000826</c:v>
                </c:pt>
                <c:pt idx="246">
                  <c:v>0.54000000000000847</c:v>
                </c:pt>
                <c:pt idx="247">
                  <c:v>0.53000000000000869</c:v>
                </c:pt>
                <c:pt idx="248">
                  <c:v>0.5200000000000089</c:v>
                </c:pt>
                <c:pt idx="249">
                  <c:v>0.51000000000000911</c:v>
                </c:pt>
                <c:pt idx="250">
                  <c:v>0.50000000000000933</c:v>
                </c:pt>
                <c:pt idx="251">
                  <c:v>0.49000000000000954</c:v>
                </c:pt>
                <c:pt idx="252">
                  <c:v>0.48000000000000975</c:v>
                </c:pt>
                <c:pt idx="253">
                  <c:v>0.47000000000000997</c:v>
                </c:pt>
                <c:pt idx="254">
                  <c:v>0.46000000000001018</c:v>
                </c:pt>
                <c:pt idx="255">
                  <c:v>0.45000000000001039</c:v>
                </c:pt>
                <c:pt idx="256">
                  <c:v>0.4400000000000106</c:v>
                </c:pt>
                <c:pt idx="257">
                  <c:v>0.43000000000001082</c:v>
                </c:pt>
                <c:pt idx="258">
                  <c:v>0.42000000000001103</c:v>
                </c:pt>
                <c:pt idx="259">
                  <c:v>0.41000000000001124</c:v>
                </c:pt>
                <c:pt idx="260">
                  <c:v>0.40000000000001146</c:v>
                </c:pt>
                <c:pt idx="261">
                  <c:v>0.39000000000001167</c:v>
                </c:pt>
                <c:pt idx="262">
                  <c:v>0.38000000000001188</c:v>
                </c:pt>
                <c:pt idx="263">
                  <c:v>0.3700000000000121</c:v>
                </c:pt>
                <c:pt idx="264">
                  <c:v>0.36000000000001231</c:v>
                </c:pt>
                <c:pt idx="265">
                  <c:v>0.35000000000001252</c:v>
                </c:pt>
                <c:pt idx="266">
                  <c:v>0.34000000000001274</c:v>
                </c:pt>
                <c:pt idx="267">
                  <c:v>0.33000000000001295</c:v>
                </c:pt>
                <c:pt idx="268">
                  <c:v>0.32000000000001316</c:v>
                </c:pt>
                <c:pt idx="269">
                  <c:v>0.31000000000001338</c:v>
                </c:pt>
                <c:pt idx="270">
                  <c:v>0.30000000000001359</c:v>
                </c:pt>
                <c:pt idx="271">
                  <c:v>0.2900000000000138</c:v>
                </c:pt>
                <c:pt idx="272">
                  <c:v>0.28000000000001402</c:v>
                </c:pt>
                <c:pt idx="273">
                  <c:v>0.27000000000001423</c:v>
                </c:pt>
                <c:pt idx="274">
                  <c:v>0.26000000000001444</c:v>
                </c:pt>
                <c:pt idx="275">
                  <c:v>0.25000000000001465</c:v>
                </c:pt>
                <c:pt idx="276">
                  <c:v>0.24000000000001487</c:v>
                </c:pt>
                <c:pt idx="277">
                  <c:v>0.23000000000001508</c:v>
                </c:pt>
                <c:pt idx="278">
                  <c:v>0.22000000000001529</c:v>
                </c:pt>
                <c:pt idx="279">
                  <c:v>0.21000000000001551</c:v>
                </c:pt>
                <c:pt idx="280">
                  <c:v>0.20000000000001572</c:v>
                </c:pt>
                <c:pt idx="281">
                  <c:v>0.19000000000001593</c:v>
                </c:pt>
                <c:pt idx="282">
                  <c:v>0.18000000000001615</c:v>
                </c:pt>
                <c:pt idx="283">
                  <c:v>0.17000000000001636</c:v>
                </c:pt>
                <c:pt idx="284">
                  <c:v>0.16000000000001657</c:v>
                </c:pt>
                <c:pt idx="285">
                  <c:v>0.15000000000001679</c:v>
                </c:pt>
                <c:pt idx="286">
                  <c:v>0.140000000000017</c:v>
                </c:pt>
                <c:pt idx="287">
                  <c:v>0.13000000000001721</c:v>
                </c:pt>
                <c:pt idx="288">
                  <c:v>0.12000000000001743</c:v>
                </c:pt>
                <c:pt idx="289">
                  <c:v>0.11000000000001764</c:v>
                </c:pt>
                <c:pt idx="290">
                  <c:v>0.10000000000001785</c:v>
                </c:pt>
                <c:pt idx="291">
                  <c:v>9.0000000000018066E-2</c:v>
                </c:pt>
                <c:pt idx="292">
                  <c:v>8.0000000000018279E-2</c:v>
                </c:pt>
                <c:pt idx="293">
                  <c:v>7.0000000000018492E-2</c:v>
                </c:pt>
                <c:pt idx="294">
                  <c:v>6.0000000000018705E-2</c:v>
                </c:pt>
                <c:pt idx="295">
                  <c:v>5.0000000000018918E-2</c:v>
                </c:pt>
                <c:pt idx="296">
                  <c:v>4.0000000000019131E-2</c:v>
                </c:pt>
                <c:pt idx="297">
                  <c:v>3.0000000000019345E-2</c:v>
                </c:pt>
                <c:pt idx="298">
                  <c:v>2.0000000000019558E-2</c:v>
                </c:pt>
                <c:pt idx="299">
                  <c:v>1.0000000000019771E-2</c:v>
                </c:pt>
                <c:pt idx="300">
                  <c:v>1.9984014443252818E-14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3-4D52-BB48-0B6C3B40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Calced'!$B:$B</c:f>
              <c:numCache>
                <c:formatCode>General</c:formatCode>
                <c:ptCount val="1048576"/>
                <c:pt idx="1">
                  <c:v>0.995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0.98</c:v>
                </c:pt>
                <c:pt idx="5">
                  <c:v>0.97499999999999998</c:v>
                </c:pt>
                <c:pt idx="6">
                  <c:v>0.97</c:v>
                </c:pt>
                <c:pt idx="7">
                  <c:v>0.96499999999999997</c:v>
                </c:pt>
                <c:pt idx="8">
                  <c:v>0.96</c:v>
                </c:pt>
                <c:pt idx="9">
                  <c:v>0.95499999999999996</c:v>
                </c:pt>
                <c:pt idx="10">
                  <c:v>0.95</c:v>
                </c:pt>
                <c:pt idx="11">
                  <c:v>0.94500000000000006</c:v>
                </c:pt>
                <c:pt idx="12">
                  <c:v>0.94000000000000006</c:v>
                </c:pt>
                <c:pt idx="13">
                  <c:v>0.93500000000000005</c:v>
                </c:pt>
                <c:pt idx="14">
                  <c:v>0.93</c:v>
                </c:pt>
                <c:pt idx="15">
                  <c:v>0.92500000000000004</c:v>
                </c:pt>
                <c:pt idx="16">
                  <c:v>0.92</c:v>
                </c:pt>
                <c:pt idx="17">
                  <c:v>0.91500000000000004</c:v>
                </c:pt>
                <c:pt idx="18">
                  <c:v>0.91</c:v>
                </c:pt>
                <c:pt idx="19">
                  <c:v>0.90500000000000003</c:v>
                </c:pt>
                <c:pt idx="20">
                  <c:v>0.9</c:v>
                </c:pt>
                <c:pt idx="21">
                  <c:v>0.89500000000000002</c:v>
                </c:pt>
                <c:pt idx="22">
                  <c:v>0.89</c:v>
                </c:pt>
                <c:pt idx="23">
                  <c:v>0.88500000000000001</c:v>
                </c:pt>
                <c:pt idx="24">
                  <c:v>0.88</c:v>
                </c:pt>
                <c:pt idx="25">
                  <c:v>0.875</c:v>
                </c:pt>
                <c:pt idx="26">
                  <c:v>0.87</c:v>
                </c:pt>
                <c:pt idx="27">
                  <c:v>0.86499999999999999</c:v>
                </c:pt>
                <c:pt idx="28">
                  <c:v>0.86</c:v>
                </c:pt>
                <c:pt idx="29">
                  <c:v>0.85499999999999998</c:v>
                </c:pt>
                <c:pt idx="30">
                  <c:v>0.85</c:v>
                </c:pt>
                <c:pt idx="31">
                  <c:v>0.84499999999999997</c:v>
                </c:pt>
                <c:pt idx="32">
                  <c:v>0.84</c:v>
                </c:pt>
                <c:pt idx="33">
                  <c:v>0.83499999999999996</c:v>
                </c:pt>
                <c:pt idx="34">
                  <c:v>0.83</c:v>
                </c:pt>
                <c:pt idx="35">
                  <c:v>0.82499999999999996</c:v>
                </c:pt>
                <c:pt idx="36">
                  <c:v>0.82</c:v>
                </c:pt>
                <c:pt idx="37">
                  <c:v>0.81499999999999995</c:v>
                </c:pt>
                <c:pt idx="38">
                  <c:v>0.80999999999999994</c:v>
                </c:pt>
                <c:pt idx="39">
                  <c:v>0.80499999999999994</c:v>
                </c:pt>
                <c:pt idx="40">
                  <c:v>0.79999999999999993</c:v>
                </c:pt>
                <c:pt idx="41">
                  <c:v>0.79499999999999993</c:v>
                </c:pt>
                <c:pt idx="42">
                  <c:v>0.78999999999999992</c:v>
                </c:pt>
                <c:pt idx="43">
                  <c:v>0.78499999999999992</c:v>
                </c:pt>
                <c:pt idx="44">
                  <c:v>0.77999999999999992</c:v>
                </c:pt>
                <c:pt idx="45">
                  <c:v>0.77499999999999991</c:v>
                </c:pt>
                <c:pt idx="46">
                  <c:v>0.76999999999999991</c:v>
                </c:pt>
                <c:pt idx="47">
                  <c:v>0.7649999999999999</c:v>
                </c:pt>
                <c:pt idx="48">
                  <c:v>0.7599999999999999</c:v>
                </c:pt>
                <c:pt idx="49">
                  <c:v>0.75499999999999989</c:v>
                </c:pt>
                <c:pt idx="50">
                  <c:v>0.74999999999999989</c:v>
                </c:pt>
                <c:pt idx="51">
                  <c:v>0.74499999999999988</c:v>
                </c:pt>
                <c:pt idx="52">
                  <c:v>0.73999999999999988</c:v>
                </c:pt>
                <c:pt idx="53">
                  <c:v>0.73499999999999988</c:v>
                </c:pt>
                <c:pt idx="54">
                  <c:v>0.72999999999999987</c:v>
                </c:pt>
                <c:pt idx="55">
                  <c:v>0.72499999999999987</c:v>
                </c:pt>
                <c:pt idx="56">
                  <c:v>0.71999999999999986</c:v>
                </c:pt>
                <c:pt idx="57">
                  <c:v>0.71499999999999986</c:v>
                </c:pt>
                <c:pt idx="58">
                  <c:v>0.70999999999999985</c:v>
                </c:pt>
                <c:pt idx="59">
                  <c:v>0.70499999999999985</c:v>
                </c:pt>
                <c:pt idx="60">
                  <c:v>0.69999999999999984</c:v>
                </c:pt>
                <c:pt idx="61">
                  <c:v>0.69499999999999984</c:v>
                </c:pt>
                <c:pt idx="62">
                  <c:v>0.68999999999999984</c:v>
                </c:pt>
                <c:pt idx="63">
                  <c:v>0.68499999999999983</c:v>
                </c:pt>
                <c:pt idx="64">
                  <c:v>0.67999999999999983</c:v>
                </c:pt>
                <c:pt idx="65">
                  <c:v>0.67499999999999982</c:v>
                </c:pt>
                <c:pt idx="66">
                  <c:v>0.66999999999999982</c:v>
                </c:pt>
                <c:pt idx="67">
                  <c:v>0.66499999999999981</c:v>
                </c:pt>
                <c:pt idx="68">
                  <c:v>0.65999999999999981</c:v>
                </c:pt>
                <c:pt idx="69">
                  <c:v>0.6549999999999998</c:v>
                </c:pt>
                <c:pt idx="70">
                  <c:v>0.6499999999999998</c:v>
                </c:pt>
                <c:pt idx="71">
                  <c:v>0.6449999999999998</c:v>
                </c:pt>
                <c:pt idx="72">
                  <c:v>0.63999999999999979</c:v>
                </c:pt>
                <c:pt idx="73">
                  <c:v>0.63499999999999979</c:v>
                </c:pt>
                <c:pt idx="74">
                  <c:v>0.62999999999999978</c:v>
                </c:pt>
                <c:pt idx="75">
                  <c:v>0.62499999999999978</c:v>
                </c:pt>
                <c:pt idx="76">
                  <c:v>0.61999999999999977</c:v>
                </c:pt>
                <c:pt idx="77">
                  <c:v>0.61499999999999977</c:v>
                </c:pt>
                <c:pt idx="78">
                  <c:v>0.60999999999999976</c:v>
                </c:pt>
                <c:pt idx="79">
                  <c:v>0.60499999999999976</c:v>
                </c:pt>
                <c:pt idx="80">
                  <c:v>0.59999999999999976</c:v>
                </c:pt>
                <c:pt idx="81">
                  <c:v>0.59499999999999975</c:v>
                </c:pt>
                <c:pt idx="82">
                  <c:v>0.58999999999999975</c:v>
                </c:pt>
                <c:pt idx="83">
                  <c:v>0.58499999999999974</c:v>
                </c:pt>
                <c:pt idx="84">
                  <c:v>0.57999999999999974</c:v>
                </c:pt>
                <c:pt idx="85">
                  <c:v>0.57499999999999973</c:v>
                </c:pt>
                <c:pt idx="86">
                  <c:v>0.56999999999999973</c:v>
                </c:pt>
                <c:pt idx="87">
                  <c:v>0.56499999999999972</c:v>
                </c:pt>
                <c:pt idx="88">
                  <c:v>0.55999999999999972</c:v>
                </c:pt>
                <c:pt idx="89">
                  <c:v>0.55499999999999972</c:v>
                </c:pt>
                <c:pt idx="90">
                  <c:v>0.54999999999999971</c:v>
                </c:pt>
                <c:pt idx="91">
                  <c:v>0.54499999999999971</c:v>
                </c:pt>
                <c:pt idx="92">
                  <c:v>0.5399999999999997</c:v>
                </c:pt>
                <c:pt idx="93">
                  <c:v>0.5349999999999997</c:v>
                </c:pt>
                <c:pt idx="94">
                  <c:v>0.52999999999999969</c:v>
                </c:pt>
                <c:pt idx="95">
                  <c:v>0.52499999999999969</c:v>
                </c:pt>
                <c:pt idx="96">
                  <c:v>0.51999999999999968</c:v>
                </c:pt>
                <c:pt idx="97">
                  <c:v>0.51499999999999968</c:v>
                </c:pt>
                <c:pt idx="98">
                  <c:v>0.50999999999999968</c:v>
                </c:pt>
                <c:pt idx="99">
                  <c:v>0.50499999999999967</c:v>
                </c:pt>
                <c:pt idx="100">
                  <c:v>0.49999999999999967</c:v>
                </c:pt>
                <c:pt idx="101">
                  <c:v>0.49499999999999966</c:v>
                </c:pt>
                <c:pt idx="102">
                  <c:v>0.48999999999999966</c:v>
                </c:pt>
                <c:pt idx="103">
                  <c:v>0.48499999999999965</c:v>
                </c:pt>
                <c:pt idx="104">
                  <c:v>0.47999999999999965</c:v>
                </c:pt>
                <c:pt idx="105">
                  <c:v>0.47499999999999964</c:v>
                </c:pt>
                <c:pt idx="106">
                  <c:v>0.46999999999999964</c:v>
                </c:pt>
                <c:pt idx="107">
                  <c:v>0.46499999999999964</c:v>
                </c:pt>
                <c:pt idx="108">
                  <c:v>0.45999999999999963</c:v>
                </c:pt>
                <c:pt idx="109">
                  <c:v>0.45499999999999963</c:v>
                </c:pt>
                <c:pt idx="110">
                  <c:v>0.44999999999999962</c:v>
                </c:pt>
                <c:pt idx="111">
                  <c:v>0.44499999999999962</c:v>
                </c:pt>
                <c:pt idx="112">
                  <c:v>0.43999999999999961</c:v>
                </c:pt>
                <c:pt idx="113">
                  <c:v>0.43499999999999961</c:v>
                </c:pt>
                <c:pt idx="114">
                  <c:v>0.4299999999999996</c:v>
                </c:pt>
                <c:pt idx="115">
                  <c:v>0.4249999999999996</c:v>
                </c:pt>
                <c:pt idx="116">
                  <c:v>0.4199999999999996</c:v>
                </c:pt>
                <c:pt idx="117">
                  <c:v>0.41499999999999959</c:v>
                </c:pt>
                <c:pt idx="118">
                  <c:v>0.40999999999999959</c:v>
                </c:pt>
                <c:pt idx="119">
                  <c:v>0.40499999999999958</c:v>
                </c:pt>
                <c:pt idx="120">
                  <c:v>0.39999999999999958</c:v>
                </c:pt>
                <c:pt idx="121">
                  <c:v>0.39499999999999957</c:v>
                </c:pt>
                <c:pt idx="122">
                  <c:v>0.38999999999999957</c:v>
                </c:pt>
                <c:pt idx="123">
                  <c:v>0.38499999999999956</c:v>
                </c:pt>
                <c:pt idx="124">
                  <c:v>0.37999999999999956</c:v>
                </c:pt>
                <c:pt idx="125">
                  <c:v>0.37499999999999956</c:v>
                </c:pt>
                <c:pt idx="126">
                  <c:v>0.36999999999999955</c:v>
                </c:pt>
                <c:pt idx="127">
                  <c:v>0.36499999999999955</c:v>
                </c:pt>
                <c:pt idx="128">
                  <c:v>0.35999999999999954</c:v>
                </c:pt>
                <c:pt idx="129">
                  <c:v>0.35499999999999954</c:v>
                </c:pt>
                <c:pt idx="130">
                  <c:v>0.34999999999999953</c:v>
                </c:pt>
                <c:pt idx="131">
                  <c:v>0.34499999999999953</c:v>
                </c:pt>
                <c:pt idx="132">
                  <c:v>0.33999999999999952</c:v>
                </c:pt>
                <c:pt idx="133">
                  <c:v>0.33499999999999952</c:v>
                </c:pt>
                <c:pt idx="134">
                  <c:v>0.32999999999999952</c:v>
                </c:pt>
                <c:pt idx="135">
                  <c:v>0.32499999999999951</c:v>
                </c:pt>
                <c:pt idx="136">
                  <c:v>0.31999999999999951</c:v>
                </c:pt>
                <c:pt idx="137">
                  <c:v>0.3149999999999995</c:v>
                </c:pt>
                <c:pt idx="138">
                  <c:v>0.3099999999999995</c:v>
                </c:pt>
                <c:pt idx="139">
                  <c:v>0.30499999999999949</c:v>
                </c:pt>
                <c:pt idx="140">
                  <c:v>0.29999999999999949</c:v>
                </c:pt>
                <c:pt idx="141">
                  <c:v>0.29499999999999948</c:v>
                </c:pt>
                <c:pt idx="142">
                  <c:v>0.28999999999999948</c:v>
                </c:pt>
                <c:pt idx="143">
                  <c:v>0.28499999999999948</c:v>
                </c:pt>
                <c:pt idx="144">
                  <c:v>0.27999999999999947</c:v>
                </c:pt>
                <c:pt idx="145">
                  <c:v>0.27499999999999947</c:v>
                </c:pt>
                <c:pt idx="146">
                  <c:v>0.26999999999999946</c:v>
                </c:pt>
                <c:pt idx="147">
                  <c:v>0.26499999999999946</c:v>
                </c:pt>
                <c:pt idx="148">
                  <c:v>0.25999999999999945</c:v>
                </c:pt>
                <c:pt idx="149">
                  <c:v>0.25499999999999945</c:v>
                </c:pt>
                <c:pt idx="150">
                  <c:v>0.24999999999999944</c:v>
                </c:pt>
                <c:pt idx="151">
                  <c:v>0.24499999999999944</c:v>
                </c:pt>
                <c:pt idx="152">
                  <c:v>0.23999999999999944</c:v>
                </c:pt>
                <c:pt idx="153">
                  <c:v>0.23499999999999943</c:v>
                </c:pt>
                <c:pt idx="154">
                  <c:v>0.22999999999999943</c:v>
                </c:pt>
                <c:pt idx="155">
                  <c:v>0.22499999999999942</c:v>
                </c:pt>
                <c:pt idx="156">
                  <c:v>0.21999999999999942</c:v>
                </c:pt>
                <c:pt idx="157">
                  <c:v>0.21499999999999941</c:v>
                </c:pt>
                <c:pt idx="158">
                  <c:v>0.20999999999999941</c:v>
                </c:pt>
                <c:pt idx="159">
                  <c:v>0.2049999999999994</c:v>
                </c:pt>
                <c:pt idx="160">
                  <c:v>0.1999999999999994</c:v>
                </c:pt>
                <c:pt idx="161">
                  <c:v>0.1949999999999994</c:v>
                </c:pt>
                <c:pt idx="162">
                  <c:v>0.18999999999999939</c:v>
                </c:pt>
                <c:pt idx="163">
                  <c:v>0.18499999999999939</c:v>
                </c:pt>
                <c:pt idx="164">
                  <c:v>0.17999999999999938</c:v>
                </c:pt>
                <c:pt idx="165">
                  <c:v>0.17499999999999938</c:v>
                </c:pt>
                <c:pt idx="166">
                  <c:v>0.16999999999999937</c:v>
                </c:pt>
                <c:pt idx="167">
                  <c:v>0.16499999999999937</c:v>
                </c:pt>
                <c:pt idx="168">
                  <c:v>0.15999999999999936</c:v>
                </c:pt>
                <c:pt idx="169">
                  <c:v>0.15499999999999936</c:v>
                </c:pt>
                <c:pt idx="170">
                  <c:v>0.14999999999999936</c:v>
                </c:pt>
                <c:pt idx="171">
                  <c:v>0.14499999999999935</c:v>
                </c:pt>
                <c:pt idx="172">
                  <c:v>0.13999999999999935</c:v>
                </c:pt>
                <c:pt idx="173">
                  <c:v>0.13499999999999934</c:v>
                </c:pt>
                <c:pt idx="174">
                  <c:v>0.12999999999999934</c:v>
                </c:pt>
                <c:pt idx="175">
                  <c:v>0.12499999999999933</c:v>
                </c:pt>
                <c:pt idx="176">
                  <c:v>0.11999999999999933</c:v>
                </c:pt>
                <c:pt idx="177">
                  <c:v>0.11499999999999932</c:v>
                </c:pt>
                <c:pt idx="178">
                  <c:v>0.10999999999999932</c:v>
                </c:pt>
                <c:pt idx="179">
                  <c:v>0.10499999999999932</c:v>
                </c:pt>
                <c:pt idx="180">
                  <c:v>9.9999999999999312E-2</c:v>
                </c:pt>
                <c:pt idx="181">
                  <c:v>9.4999999999999307E-2</c:v>
                </c:pt>
                <c:pt idx="182">
                  <c:v>8.9999999999999303E-2</c:v>
                </c:pt>
                <c:pt idx="183">
                  <c:v>8.4999999999999298E-2</c:v>
                </c:pt>
                <c:pt idx="184">
                  <c:v>7.9999999999999294E-2</c:v>
                </c:pt>
                <c:pt idx="185">
                  <c:v>7.4999999999999289E-2</c:v>
                </c:pt>
                <c:pt idx="186">
                  <c:v>6.9999999999999285E-2</c:v>
                </c:pt>
                <c:pt idx="187">
                  <c:v>6.4999999999999281E-2</c:v>
                </c:pt>
                <c:pt idx="188">
                  <c:v>5.9999999999999276E-2</c:v>
                </c:pt>
                <c:pt idx="189">
                  <c:v>5.4999999999999272E-2</c:v>
                </c:pt>
                <c:pt idx="190">
                  <c:v>4.9999999999999267E-2</c:v>
                </c:pt>
                <c:pt idx="191">
                  <c:v>4.4999999999999263E-2</c:v>
                </c:pt>
                <c:pt idx="192">
                  <c:v>3.9999999999999258E-2</c:v>
                </c:pt>
                <c:pt idx="193">
                  <c:v>3.4999999999999254E-2</c:v>
                </c:pt>
                <c:pt idx="194">
                  <c:v>2.9999999999999249E-2</c:v>
                </c:pt>
                <c:pt idx="195">
                  <c:v>2.4999999999999245E-2</c:v>
                </c:pt>
                <c:pt idx="196">
                  <c:v>1.9999999999999241E-2</c:v>
                </c:pt>
                <c:pt idx="197">
                  <c:v>1.4999999999999236E-2</c:v>
                </c:pt>
                <c:pt idx="198">
                  <c:v>9.9999999999992317E-3</c:v>
                </c:pt>
                <c:pt idx="199">
                  <c:v>4.9999999999992273E-3</c:v>
                </c:pt>
                <c:pt idx="200">
                  <c:v>-6.6613381477509392E-16</c:v>
                </c:pt>
                <c:pt idx="201">
                  <c:v>-5.0000000000005596E-3</c:v>
                </c:pt>
                <c:pt idx="202">
                  <c:v>-1.0000000000000453E-2</c:v>
                </c:pt>
                <c:pt idx="203">
                  <c:v>-1.5000000000000346E-2</c:v>
                </c:pt>
                <c:pt idx="204">
                  <c:v>-2.000000000000024E-2</c:v>
                </c:pt>
                <c:pt idx="205">
                  <c:v>-2.5000000000000133E-2</c:v>
                </c:pt>
                <c:pt idx="206">
                  <c:v>-3.0000000000000027E-2</c:v>
                </c:pt>
                <c:pt idx="207">
                  <c:v>-3.499999999999992E-2</c:v>
                </c:pt>
                <c:pt idx="208">
                  <c:v>-3.9999999999999813E-2</c:v>
                </c:pt>
                <c:pt idx="209">
                  <c:v>-4.4999999999999707E-2</c:v>
                </c:pt>
                <c:pt idx="210">
                  <c:v>-4.99999999999996E-2</c:v>
                </c:pt>
                <c:pt idx="211">
                  <c:v>-5.4999999999999494E-2</c:v>
                </c:pt>
                <c:pt idx="212">
                  <c:v>-5.9999999999999387E-2</c:v>
                </c:pt>
                <c:pt idx="213">
                  <c:v>-6.4999999999999281E-2</c:v>
                </c:pt>
                <c:pt idx="214">
                  <c:v>-6.9999999999999174E-2</c:v>
                </c:pt>
                <c:pt idx="215">
                  <c:v>-7.4999999999999067E-2</c:v>
                </c:pt>
                <c:pt idx="216">
                  <c:v>-7.9999999999998961E-2</c:v>
                </c:pt>
                <c:pt idx="217">
                  <c:v>-8.4999999999998854E-2</c:v>
                </c:pt>
                <c:pt idx="218">
                  <c:v>-8.9999999999998748E-2</c:v>
                </c:pt>
                <c:pt idx="219">
                  <c:v>-9.4999999999998641E-2</c:v>
                </c:pt>
                <c:pt idx="220">
                  <c:v>-9.9999999999998535E-2</c:v>
                </c:pt>
                <c:pt idx="221">
                  <c:v>-0.10499999999999843</c:v>
                </c:pt>
                <c:pt idx="222">
                  <c:v>-0.10999999999999832</c:v>
                </c:pt>
                <c:pt idx="223">
                  <c:v>-0.11499999999999821</c:v>
                </c:pt>
                <c:pt idx="224">
                  <c:v>-0.11999999999999811</c:v>
                </c:pt>
                <c:pt idx="225">
                  <c:v>-0.124999999999998</c:v>
                </c:pt>
                <c:pt idx="226">
                  <c:v>-0.1299999999999979</c:v>
                </c:pt>
                <c:pt idx="227">
                  <c:v>-0.13499999999999779</c:v>
                </c:pt>
                <c:pt idx="228">
                  <c:v>-0.13999999999999768</c:v>
                </c:pt>
                <c:pt idx="229">
                  <c:v>-0.14499999999999758</c:v>
                </c:pt>
                <c:pt idx="230">
                  <c:v>-0.14999999999999747</c:v>
                </c:pt>
                <c:pt idx="231">
                  <c:v>-0.15499999999999736</c:v>
                </c:pt>
                <c:pt idx="232">
                  <c:v>-0.15999999999999726</c:v>
                </c:pt>
                <c:pt idx="233">
                  <c:v>-0.16499999999999715</c:v>
                </c:pt>
                <c:pt idx="234">
                  <c:v>-0.16999999999999704</c:v>
                </c:pt>
                <c:pt idx="235">
                  <c:v>-0.17499999999999694</c:v>
                </c:pt>
                <c:pt idx="236">
                  <c:v>-0.17999999999999683</c:v>
                </c:pt>
                <c:pt idx="237">
                  <c:v>-0.18499999999999672</c:v>
                </c:pt>
                <c:pt idx="238">
                  <c:v>-0.18999999999999662</c:v>
                </c:pt>
                <c:pt idx="239">
                  <c:v>-0.19499999999999651</c:v>
                </c:pt>
                <c:pt idx="240">
                  <c:v>-0.1999999999999964</c:v>
                </c:pt>
                <c:pt idx="241">
                  <c:v>-0.2049999999999963</c:v>
                </c:pt>
                <c:pt idx="242">
                  <c:v>-0.20999999999999619</c:v>
                </c:pt>
                <c:pt idx="243">
                  <c:v>-0.21499999999999608</c:v>
                </c:pt>
                <c:pt idx="244">
                  <c:v>-0.21999999999999598</c:v>
                </c:pt>
                <c:pt idx="245">
                  <c:v>-0.22499999999999587</c:v>
                </c:pt>
                <c:pt idx="246">
                  <c:v>-0.22999999999999576</c:v>
                </c:pt>
                <c:pt idx="247">
                  <c:v>-0.23499999999999566</c:v>
                </c:pt>
                <c:pt idx="248">
                  <c:v>-0.23999999999999555</c:v>
                </c:pt>
                <c:pt idx="249">
                  <c:v>-0.24499999999999544</c:v>
                </c:pt>
                <c:pt idx="250">
                  <c:v>-0.24999999999999534</c:v>
                </c:pt>
                <c:pt idx="251">
                  <c:v>-0.25499999999999523</c:v>
                </c:pt>
                <c:pt idx="252">
                  <c:v>-0.25999999999999512</c:v>
                </c:pt>
                <c:pt idx="253">
                  <c:v>-0.26499999999999502</c:v>
                </c:pt>
                <c:pt idx="254">
                  <c:v>-0.26999999999999491</c:v>
                </c:pt>
                <c:pt idx="255">
                  <c:v>-0.2749999999999948</c:v>
                </c:pt>
                <c:pt idx="256">
                  <c:v>-0.2799999999999947</c:v>
                </c:pt>
                <c:pt idx="257">
                  <c:v>-0.28499999999999459</c:v>
                </c:pt>
                <c:pt idx="258">
                  <c:v>-0.28999999999999448</c:v>
                </c:pt>
                <c:pt idx="259">
                  <c:v>-0.29499999999999438</c:v>
                </c:pt>
                <c:pt idx="260">
                  <c:v>-0.29999999999999427</c:v>
                </c:pt>
                <c:pt idx="261">
                  <c:v>-0.30499999999999416</c:v>
                </c:pt>
                <c:pt idx="262">
                  <c:v>-0.30999999999999406</c:v>
                </c:pt>
                <c:pt idx="263">
                  <c:v>-0.31499999999999395</c:v>
                </c:pt>
                <c:pt idx="264">
                  <c:v>-0.31999999999999384</c:v>
                </c:pt>
                <c:pt idx="265">
                  <c:v>-0.32499999999999374</c:v>
                </c:pt>
                <c:pt idx="266">
                  <c:v>-0.32999999999999363</c:v>
                </c:pt>
                <c:pt idx="267">
                  <c:v>-0.33499999999999353</c:v>
                </c:pt>
                <c:pt idx="268">
                  <c:v>-0.33999999999999342</c:v>
                </c:pt>
                <c:pt idx="269">
                  <c:v>-0.34499999999999331</c:v>
                </c:pt>
                <c:pt idx="270">
                  <c:v>-0.34999999999999321</c:v>
                </c:pt>
                <c:pt idx="271">
                  <c:v>-0.3549999999999931</c:v>
                </c:pt>
                <c:pt idx="272">
                  <c:v>-0.35999999999999299</c:v>
                </c:pt>
                <c:pt idx="273">
                  <c:v>-0.36499999999999289</c:v>
                </c:pt>
                <c:pt idx="274">
                  <c:v>-0.36999999999999278</c:v>
                </c:pt>
                <c:pt idx="275">
                  <c:v>-0.37499999999999267</c:v>
                </c:pt>
                <c:pt idx="276">
                  <c:v>-0.37999999999999257</c:v>
                </c:pt>
                <c:pt idx="277">
                  <c:v>-0.38499999999999246</c:v>
                </c:pt>
                <c:pt idx="278">
                  <c:v>-0.38999999999999235</c:v>
                </c:pt>
                <c:pt idx="279">
                  <c:v>-0.39499999999999225</c:v>
                </c:pt>
                <c:pt idx="280">
                  <c:v>-0.39999999999999214</c:v>
                </c:pt>
                <c:pt idx="281">
                  <c:v>-0.40499999999999203</c:v>
                </c:pt>
                <c:pt idx="282">
                  <c:v>-0.40999999999999193</c:v>
                </c:pt>
                <c:pt idx="283">
                  <c:v>-0.41499999999999182</c:v>
                </c:pt>
                <c:pt idx="284">
                  <c:v>-0.41999999999999171</c:v>
                </c:pt>
                <c:pt idx="285">
                  <c:v>-0.42499999999999161</c:v>
                </c:pt>
                <c:pt idx="286">
                  <c:v>-0.4299999999999915</c:v>
                </c:pt>
                <c:pt idx="287">
                  <c:v>-0.43499999999999139</c:v>
                </c:pt>
                <c:pt idx="288">
                  <c:v>-0.43999999999999129</c:v>
                </c:pt>
                <c:pt idx="289">
                  <c:v>-0.44499999999999118</c:v>
                </c:pt>
                <c:pt idx="290">
                  <c:v>-0.44999999999999107</c:v>
                </c:pt>
                <c:pt idx="291">
                  <c:v>-0.45499999999999097</c:v>
                </c:pt>
                <c:pt idx="292">
                  <c:v>-0.45999999999999086</c:v>
                </c:pt>
                <c:pt idx="293">
                  <c:v>-0.46499999999999075</c:v>
                </c:pt>
                <c:pt idx="294">
                  <c:v>-0.46999999999999065</c:v>
                </c:pt>
                <c:pt idx="295">
                  <c:v>-0.47499999999999054</c:v>
                </c:pt>
                <c:pt idx="296">
                  <c:v>-0.47999999999999043</c:v>
                </c:pt>
                <c:pt idx="297">
                  <c:v>-0.48499999999999033</c:v>
                </c:pt>
                <c:pt idx="298">
                  <c:v>-0.48999999999999022</c:v>
                </c:pt>
                <c:pt idx="299">
                  <c:v>-0.49499999999999011</c:v>
                </c:pt>
                <c:pt idx="300">
                  <c:v>-0.49999999999999001</c:v>
                </c:pt>
                <c:pt idx="301">
                  <c:v>-0.5049999999999899</c:v>
                </c:pt>
                <c:pt idx="302">
                  <c:v>-0.50999999999998979</c:v>
                </c:pt>
                <c:pt idx="303">
                  <c:v>-0.51499999999998969</c:v>
                </c:pt>
                <c:pt idx="304">
                  <c:v>-0.51999999999998958</c:v>
                </c:pt>
                <c:pt idx="305">
                  <c:v>-0.52499999999998948</c:v>
                </c:pt>
                <c:pt idx="306">
                  <c:v>-0.52999999999998937</c:v>
                </c:pt>
                <c:pt idx="307">
                  <c:v>-0.53499999999998926</c:v>
                </c:pt>
                <c:pt idx="308">
                  <c:v>-0.53999999999998916</c:v>
                </c:pt>
                <c:pt idx="309">
                  <c:v>-0.54499999999998905</c:v>
                </c:pt>
                <c:pt idx="310">
                  <c:v>-0.54999999999998894</c:v>
                </c:pt>
                <c:pt idx="311">
                  <c:v>-0.55499999999998884</c:v>
                </c:pt>
                <c:pt idx="312">
                  <c:v>-0.55999999999998873</c:v>
                </c:pt>
                <c:pt idx="313">
                  <c:v>-0.56499999999998862</c:v>
                </c:pt>
                <c:pt idx="314">
                  <c:v>-0.56999999999998852</c:v>
                </c:pt>
                <c:pt idx="315">
                  <c:v>-0.57499999999998841</c:v>
                </c:pt>
                <c:pt idx="316">
                  <c:v>-0.5799999999999883</c:v>
                </c:pt>
                <c:pt idx="317">
                  <c:v>-0.5849999999999882</c:v>
                </c:pt>
                <c:pt idx="318">
                  <c:v>-0.58999999999998809</c:v>
                </c:pt>
                <c:pt idx="319">
                  <c:v>-0.59499999999998798</c:v>
                </c:pt>
                <c:pt idx="320">
                  <c:v>-0.59999999999998788</c:v>
                </c:pt>
                <c:pt idx="321">
                  <c:v>-0.60499999999998777</c:v>
                </c:pt>
                <c:pt idx="322">
                  <c:v>-0.60999999999998766</c:v>
                </c:pt>
                <c:pt idx="323">
                  <c:v>-0.61499999999998756</c:v>
                </c:pt>
                <c:pt idx="324">
                  <c:v>-0.61999999999998745</c:v>
                </c:pt>
                <c:pt idx="325">
                  <c:v>-0.62499999999998734</c:v>
                </c:pt>
                <c:pt idx="326">
                  <c:v>-0.62999999999998724</c:v>
                </c:pt>
                <c:pt idx="327">
                  <c:v>-0.63499999999998713</c:v>
                </c:pt>
                <c:pt idx="328">
                  <c:v>-0.63999999999998702</c:v>
                </c:pt>
                <c:pt idx="329">
                  <c:v>-0.64499999999998692</c:v>
                </c:pt>
                <c:pt idx="330">
                  <c:v>-0.64999999999998681</c:v>
                </c:pt>
                <c:pt idx="331">
                  <c:v>-0.6549999999999867</c:v>
                </c:pt>
                <c:pt idx="332">
                  <c:v>-0.6599999999999866</c:v>
                </c:pt>
                <c:pt idx="333">
                  <c:v>-0.66499999999998649</c:v>
                </c:pt>
                <c:pt idx="334">
                  <c:v>-0.66999999999998638</c:v>
                </c:pt>
                <c:pt idx="335">
                  <c:v>-0.67499999999998628</c:v>
                </c:pt>
                <c:pt idx="336">
                  <c:v>-0.67999999999998617</c:v>
                </c:pt>
                <c:pt idx="337">
                  <c:v>-0.68499999999998606</c:v>
                </c:pt>
                <c:pt idx="338">
                  <c:v>-0.68999999999998596</c:v>
                </c:pt>
                <c:pt idx="339">
                  <c:v>-0.69499999999998585</c:v>
                </c:pt>
                <c:pt idx="340">
                  <c:v>-0.69999999999998574</c:v>
                </c:pt>
                <c:pt idx="341">
                  <c:v>-0.70499999999998564</c:v>
                </c:pt>
                <c:pt idx="342">
                  <c:v>-0.70999999999998553</c:v>
                </c:pt>
                <c:pt idx="343">
                  <c:v>-0.71499999999998542</c:v>
                </c:pt>
                <c:pt idx="344">
                  <c:v>-0.71999999999998532</c:v>
                </c:pt>
                <c:pt idx="345">
                  <c:v>-0.72499999999998521</c:v>
                </c:pt>
                <c:pt idx="346">
                  <c:v>-0.72999999999998511</c:v>
                </c:pt>
                <c:pt idx="347">
                  <c:v>-0.734999999999985</c:v>
                </c:pt>
                <c:pt idx="348">
                  <c:v>-0.73999999999998489</c:v>
                </c:pt>
                <c:pt idx="349">
                  <c:v>-0.74499999999998479</c:v>
                </c:pt>
                <c:pt idx="350">
                  <c:v>-0.74999999999998468</c:v>
                </c:pt>
                <c:pt idx="351">
                  <c:v>-0.75499999999998457</c:v>
                </c:pt>
                <c:pt idx="352">
                  <c:v>-0.75999999999998447</c:v>
                </c:pt>
                <c:pt idx="353">
                  <c:v>-0.76499999999998436</c:v>
                </c:pt>
                <c:pt idx="354">
                  <c:v>-0.76999999999998425</c:v>
                </c:pt>
                <c:pt idx="355">
                  <c:v>-0.77499999999998415</c:v>
                </c:pt>
                <c:pt idx="356">
                  <c:v>-0.77999999999998404</c:v>
                </c:pt>
                <c:pt idx="357">
                  <c:v>-0.78499999999998393</c:v>
                </c:pt>
                <c:pt idx="358">
                  <c:v>-0.78999999999998383</c:v>
                </c:pt>
                <c:pt idx="359">
                  <c:v>-0.79499999999998372</c:v>
                </c:pt>
                <c:pt idx="360">
                  <c:v>-0.79999999999998361</c:v>
                </c:pt>
                <c:pt idx="361">
                  <c:v>-0.80499999999998351</c:v>
                </c:pt>
                <c:pt idx="362">
                  <c:v>-0.8099999999999834</c:v>
                </c:pt>
                <c:pt idx="363">
                  <c:v>-0.81499999999998329</c:v>
                </c:pt>
                <c:pt idx="364">
                  <c:v>-0.81999999999998319</c:v>
                </c:pt>
                <c:pt idx="365">
                  <c:v>-0.82499999999998308</c:v>
                </c:pt>
                <c:pt idx="366">
                  <c:v>-0.82999999999998297</c:v>
                </c:pt>
                <c:pt idx="367">
                  <c:v>-0.83499999999998287</c:v>
                </c:pt>
                <c:pt idx="368">
                  <c:v>-0.83999999999998276</c:v>
                </c:pt>
                <c:pt idx="369">
                  <c:v>-0.84499999999998265</c:v>
                </c:pt>
                <c:pt idx="370">
                  <c:v>-0.84999999999998255</c:v>
                </c:pt>
                <c:pt idx="371">
                  <c:v>-0.85499999999998244</c:v>
                </c:pt>
                <c:pt idx="372">
                  <c:v>-0.85999999999998233</c:v>
                </c:pt>
                <c:pt idx="373">
                  <c:v>-0.86499999999998223</c:v>
                </c:pt>
                <c:pt idx="374">
                  <c:v>-0.86999999999998212</c:v>
                </c:pt>
                <c:pt idx="375">
                  <c:v>-0.87499999999998201</c:v>
                </c:pt>
                <c:pt idx="376">
                  <c:v>-0.87999999999998191</c:v>
                </c:pt>
                <c:pt idx="377">
                  <c:v>-0.8849999999999818</c:v>
                </c:pt>
                <c:pt idx="378">
                  <c:v>-0.88999999999998169</c:v>
                </c:pt>
                <c:pt idx="379">
                  <c:v>-0.89499999999998159</c:v>
                </c:pt>
                <c:pt idx="380">
                  <c:v>-0.89999999999998148</c:v>
                </c:pt>
                <c:pt idx="381">
                  <c:v>-0.90499999999998137</c:v>
                </c:pt>
                <c:pt idx="382">
                  <c:v>-0.90999999999998127</c:v>
                </c:pt>
                <c:pt idx="383">
                  <c:v>-0.91499999999998116</c:v>
                </c:pt>
                <c:pt idx="384">
                  <c:v>-0.91999999999998106</c:v>
                </c:pt>
                <c:pt idx="385">
                  <c:v>-0.92499999999998095</c:v>
                </c:pt>
                <c:pt idx="386">
                  <c:v>-0.92999999999998084</c:v>
                </c:pt>
                <c:pt idx="387">
                  <c:v>-0.93499999999998074</c:v>
                </c:pt>
                <c:pt idx="388">
                  <c:v>-0.93999999999998063</c:v>
                </c:pt>
                <c:pt idx="389">
                  <c:v>-0.94499999999998052</c:v>
                </c:pt>
                <c:pt idx="390">
                  <c:v>-0.94999999999998042</c:v>
                </c:pt>
                <c:pt idx="391">
                  <c:v>-0.95499999999998031</c:v>
                </c:pt>
                <c:pt idx="392">
                  <c:v>-0.9599999999999802</c:v>
                </c:pt>
                <c:pt idx="393">
                  <c:v>-0.9649999999999801</c:v>
                </c:pt>
                <c:pt idx="394">
                  <c:v>-0.96999999999997999</c:v>
                </c:pt>
                <c:pt idx="395">
                  <c:v>-0.97499999999997988</c:v>
                </c:pt>
                <c:pt idx="396">
                  <c:v>-0.97999999999997978</c:v>
                </c:pt>
                <c:pt idx="397">
                  <c:v>-0.98499999999997967</c:v>
                </c:pt>
                <c:pt idx="398">
                  <c:v>-0.98999999999997956</c:v>
                </c:pt>
                <c:pt idx="399">
                  <c:v>-0.99499999999997946</c:v>
                </c:pt>
                <c:pt idx="400">
                  <c:v>-0.99999999999997935</c:v>
                </c:pt>
                <c:pt idx="401">
                  <c:v>-0.99000000000004107</c:v>
                </c:pt>
                <c:pt idx="402">
                  <c:v>-0.98000000000004128</c:v>
                </c:pt>
                <c:pt idx="403">
                  <c:v>-0.9700000000000415</c:v>
                </c:pt>
                <c:pt idx="404">
                  <c:v>-0.96000000000004171</c:v>
                </c:pt>
                <c:pt idx="405">
                  <c:v>-0.95000000000004192</c:v>
                </c:pt>
                <c:pt idx="406">
                  <c:v>-0.94000000000004214</c:v>
                </c:pt>
                <c:pt idx="407">
                  <c:v>-0.93000000000004235</c:v>
                </c:pt>
                <c:pt idx="408">
                  <c:v>-0.92000000000004256</c:v>
                </c:pt>
                <c:pt idx="409">
                  <c:v>-0.91000000000004277</c:v>
                </c:pt>
                <c:pt idx="410">
                  <c:v>-0.90000000000004299</c:v>
                </c:pt>
                <c:pt idx="411">
                  <c:v>-0.8900000000000432</c:v>
                </c:pt>
                <c:pt idx="412">
                  <c:v>-0.88000000000004341</c:v>
                </c:pt>
                <c:pt idx="413">
                  <c:v>-0.87000000000004363</c:v>
                </c:pt>
                <c:pt idx="414">
                  <c:v>-0.86000000000004384</c:v>
                </c:pt>
                <c:pt idx="415">
                  <c:v>-0.85000000000004405</c:v>
                </c:pt>
                <c:pt idx="416">
                  <c:v>-0.84000000000004427</c:v>
                </c:pt>
                <c:pt idx="417">
                  <c:v>-0.83000000000004448</c:v>
                </c:pt>
                <c:pt idx="418">
                  <c:v>-0.82000000000004469</c:v>
                </c:pt>
                <c:pt idx="419">
                  <c:v>-0.81000000000004491</c:v>
                </c:pt>
                <c:pt idx="420">
                  <c:v>-0.80000000000004512</c:v>
                </c:pt>
                <c:pt idx="421">
                  <c:v>-0.79000000000004533</c:v>
                </c:pt>
                <c:pt idx="422">
                  <c:v>-0.78000000000004555</c:v>
                </c:pt>
                <c:pt idx="423">
                  <c:v>-0.77000000000004576</c:v>
                </c:pt>
                <c:pt idx="424">
                  <c:v>-0.76000000000004597</c:v>
                </c:pt>
                <c:pt idx="425">
                  <c:v>-0.75000000000004619</c:v>
                </c:pt>
                <c:pt idx="426">
                  <c:v>-0.7400000000000464</c:v>
                </c:pt>
                <c:pt idx="427">
                  <c:v>-0.73000000000004661</c:v>
                </c:pt>
                <c:pt idx="428">
                  <c:v>-0.72000000000004682</c:v>
                </c:pt>
                <c:pt idx="429">
                  <c:v>-0.71000000000004704</c:v>
                </c:pt>
                <c:pt idx="430">
                  <c:v>-0.70000000000004725</c:v>
                </c:pt>
                <c:pt idx="431">
                  <c:v>-0.69000000000004746</c:v>
                </c:pt>
                <c:pt idx="432">
                  <c:v>-0.68000000000004768</c:v>
                </c:pt>
                <c:pt idx="433">
                  <c:v>-0.67000000000004789</c:v>
                </c:pt>
                <c:pt idx="434">
                  <c:v>-0.6600000000000481</c:v>
                </c:pt>
                <c:pt idx="435">
                  <c:v>-0.65000000000004832</c:v>
                </c:pt>
                <c:pt idx="436">
                  <c:v>-0.64000000000004853</c:v>
                </c:pt>
                <c:pt idx="437">
                  <c:v>-0.63000000000004874</c:v>
                </c:pt>
                <c:pt idx="438">
                  <c:v>-0.62000000000004896</c:v>
                </c:pt>
                <c:pt idx="439">
                  <c:v>-0.61000000000004917</c:v>
                </c:pt>
                <c:pt idx="440">
                  <c:v>-0.60000000000004938</c:v>
                </c:pt>
                <c:pt idx="441">
                  <c:v>-0.5900000000000496</c:v>
                </c:pt>
                <c:pt idx="442">
                  <c:v>-0.58000000000004981</c:v>
                </c:pt>
                <c:pt idx="443">
                  <c:v>-0.57000000000005002</c:v>
                </c:pt>
                <c:pt idx="444">
                  <c:v>-0.56000000000005024</c:v>
                </c:pt>
                <c:pt idx="445">
                  <c:v>-0.55000000000005045</c:v>
                </c:pt>
                <c:pt idx="446">
                  <c:v>-0.54000000000005066</c:v>
                </c:pt>
                <c:pt idx="447">
                  <c:v>-0.53000000000005087</c:v>
                </c:pt>
                <c:pt idx="448">
                  <c:v>-0.52000000000005109</c:v>
                </c:pt>
                <c:pt idx="449">
                  <c:v>-0.5100000000000513</c:v>
                </c:pt>
                <c:pt idx="450">
                  <c:v>-0.50000000000005151</c:v>
                </c:pt>
                <c:pt idx="451">
                  <c:v>-0.49000000000005173</c:v>
                </c:pt>
                <c:pt idx="452">
                  <c:v>-0.48000000000005194</c:v>
                </c:pt>
                <c:pt idx="453">
                  <c:v>-0.47000000000005215</c:v>
                </c:pt>
                <c:pt idx="454">
                  <c:v>-0.46000000000005237</c:v>
                </c:pt>
                <c:pt idx="455">
                  <c:v>-0.45000000000005258</c:v>
                </c:pt>
                <c:pt idx="456">
                  <c:v>-0.44000000000005279</c:v>
                </c:pt>
                <c:pt idx="457">
                  <c:v>-0.43000000000005301</c:v>
                </c:pt>
                <c:pt idx="458">
                  <c:v>-0.42000000000005322</c:v>
                </c:pt>
                <c:pt idx="459">
                  <c:v>-0.41000000000005343</c:v>
                </c:pt>
                <c:pt idx="460">
                  <c:v>-0.40000000000005365</c:v>
                </c:pt>
                <c:pt idx="461">
                  <c:v>-0.39000000000005386</c:v>
                </c:pt>
                <c:pt idx="462">
                  <c:v>-0.38000000000005407</c:v>
                </c:pt>
                <c:pt idx="463">
                  <c:v>-0.37000000000005429</c:v>
                </c:pt>
                <c:pt idx="464">
                  <c:v>-0.3600000000000545</c:v>
                </c:pt>
                <c:pt idx="465">
                  <c:v>-0.35000000000005471</c:v>
                </c:pt>
                <c:pt idx="466">
                  <c:v>-0.34000000000005492</c:v>
                </c:pt>
                <c:pt idx="467">
                  <c:v>-0.33000000000005514</c:v>
                </c:pt>
                <c:pt idx="468">
                  <c:v>-0.32000000000005535</c:v>
                </c:pt>
                <c:pt idx="469">
                  <c:v>-0.31000000000005556</c:v>
                </c:pt>
                <c:pt idx="470">
                  <c:v>-0.30000000000005578</c:v>
                </c:pt>
                <c:pt idx="471">
                  <c:v>-0.29000000000005599</c:v>
                </c:pt>
                <c:pt idx="472">
                  <c:v>-0.2800000000000562</c:v>
                </c:pt>
                <c:pt idx="473">
                  <c:v>-0.27000000000005642</c:v>
                </c:pt>
                <c:pt idx="474">
                  <c:v>-0.26000000000005663</c:v>
                </c:pt>
                <c:pt idx="475">
                  <c:v>-0.25000000000005684</c:v>
                </c:pt>
                <c:pt idx="476">
                  <c:v>-0.24000000000005706</c:v>
                </c:pt>
                <c:pt idx="477">
                  <c:v>-0.23000000000005727</c:v>
                </c:pt>
                <c:pt idx="478">
                  <c:v>-0.22000000000005748</c:v>
                </c:pt>
                <c:pt idx="479">
                  <c:v>-0.2100000000000577</c:v>
                </c:pt>
                <c:pt idx="480">
                  <c:v>-0.20000000000005791</c:v>
                </c:pt>
                <c:pt idx="481">
                  <c:v>-0.19000000000005812</c:v>
                </c:pt>
                <c:pt idx="482">
                  <c:v>-0.18000000000005834</c:v>
                </c:pt>
                <c:pt idx="483">
                  <c:v>-0.17000000000005855</c:v>
                </c:pt>
                <c:pt idx="484">
                  <c:v>-0.16000000000005876</c:v>
                </c:pt>
                <c:pt idx="485">
                  <c:v>-0.15000000000005898</c:v>
                </c:pt>
                <c:pt idx="486">
                  <c:v>-0.14000000000005919</c:v>
                </c:pt>
                <c:pt idx="487">
                  <c:v>-0.1300000000000594</c:v>
                </c:pt>
                <c:pt idx="488">
                  <c:v>-0.12000000000005961</c:v>
                </c:pt>
                <c:pt idx="489">
                  <c:v>-0.11000000000005983</c:v>
                </c:pt>
                <c:pt idx="490">
                  <c:v>-0.10000000000006004</c:v>
                </c:pt>
                <c:pt idx="491">
                  <c:v>-9.0000000000060254E-2</c:v>
                </c:pt>
                <c:pt idx="492">
                  <c:v>-8.0000000000060467E-2</c:v>
                </c:pt>
                <c:pt idx="493">
                  <c:v>-7.000000000006068E-2</c:v>
                </c:pt>
                <c:pt idx="494">
                  <c:v>-6.0000000000060894E-2</c:v>
                </c:pt>
                <c:pt idx="495">
                  <c:v>-5.0000000000061107E-2</c:v>
                </c:pt>
                <c:pt idx="496">
                  <c:v>-4.000000000006132E-2</c:v>
                </c:pt>
                <c:pt idx="497">
                  <c:v>-3.0000000000061533E-2</c:v>
                </c:pt>
                <c:pt idx="498">
                  <c:v>-2.0000000000061746E-2</c:v>
                </c:pt>
                <c:pt idx="499">
                  <c:v>-1.0000000000061959E-2</c:v>
                </c:pt>
                <c:pt idx="500">
                  <c:v>-6.2172489379008766E-14</c:v>
                </c:pt>
                <c:pt idx="501">
                  <c:v>9.9999999999376143E-3</c:v>
                </c:pt>
                <c:pt idx="502">
                  <c:v>1.9999999999937401E-2</c:v>
                </c:pt>
                <c:pt idx="503">
                  <c:v>2.9999999999937188E-2</c:v>
                </c:pt>
                <c:pt idx="504">
                  <c:v>3.9999999999936975E-2</c:v>
                </c:pt>
                <c:pt idx="505">
                  <c:v>4.9999999999936762E-2</c:v>
                </c:pt>
                <c:pt idx="506">
                  <c:v>5.9999999999936549E-2</c:v>
                </c:pt>
                <c:pt idx="507">
                  <c:v>6.9999999999936335E-2</c:v>
                </c:pt>
                <c:pt idx="508">
                  <c:v>7.9999999999936122E-2</c:v>
                </c:pt>
                <c:pt idx="509">
                  <c:v>8.9999999999935909E-2</c:v>
                </c:pt>
                <c:pt idx="510">
                  <c:v>9.9999999999935696E-2</c:v>
                </c:pt>
                <c:pt idx="511">
                  <c:v>0.10999999999993548</c:v>
                </c:pt>
                <c:pt idx="512">
                  <c:v>0.11999999999993527</c:v>
                </c:pt>
                <c:pt idx="513">
                  <c:v>0.12999999999993506</c:v>
                </c:pt>
                <c:pt idx="514">
                  <c:v>0.13999999999993484</c:v>
                </c:pt>
                <c:pt idx="515">
                  <c:v>0.14999999999993463</c:v>
                </c:pt>
                <c:pt idx="516">
                  <c:v>0.15999999999993442</c:v>
                </c:pt>
                <c:pt idx="517">
                  <c:v>0.1699999999999342</c:v>
                </c:pt>
                <c:pt idx="518">
                  <c:v>0.17999999999993399</c:v>
                </c:pt>
                <c:pt idx="519">
                  <c:v>0.18999999999993378</c:v>
                </c:pt>
                <c:pt idx="520">
                  <c:v>0.19999999999993356</c:v>
                </c:pt>
                <c:pt idx="521">
                  <c:v>0.20999999999993335</c:v>
                </c:pt>
                <c:pt idx="522">
                  <c:v>0.21999999999993314</c:v>
                </c:pt>
                <c:pt idx="523">
                  <c:v>0.22999999999993292</c:v>
                </c:pt>
                <c:pt idx="524">
                  <c:v>0.23999999999993271</c:v>
                </c:pt>
                <c:pt idx="525">
                  <c:v>0.2499999999999325</c:v>
                </c:pt>
                <c:pt idx="526">
                  <c:v>0.25999999999993229</c:v>
                </c:pt>
                <c:pt idx="527">
                  <c:v>0.26999999999993207</c:v>
                </c:pt>
                <c:pt idx="528">
                  <c:v>0.27999999999993186</c:v>
                </c:pt>
                <c:pt idx="529">
                  <c:v>0.28999999999993165</c:v>
                </c:pt>
                <c:pt idx="530">
                  <c:v>0.29999999999993143</c:v>
                </c:pt>
                <c:pt idx="531">
                  <c:v>0.30999999999993122</c:v>
                </c:pt>
                <c:pt idx="532">
                  <c:v>0.31999999999993101</c:v>
                </c:pt>
                <c:pt idx="533">
                  <c:v>0.32999999999993079</c:v>
                </c:pt>
                <c:pt idx="534">
                  <c:v>0.33999999999993058</c:v>
                </c:pt>
                <c:pt idx="535">
                  <c:v>0.34999999999993037</c:v>
                </c:pt>
                <c:pt idx="536">
                  <c:v>0.35999999999993015</c:v>
                </c:pt>
                <c:pt idx="537">
                  <c:v>0.36999999999992994</c:v>
                </c:pt>
                <c:pt idx="538">
                  <c:v>0.37999999999992973</c:v>
                </c:pt>
                <c:pt idx="539">
                  <c:v>0.38999999999992951</c:v>
                </c:pt>
                <c:pt idx="540">
                  <c:v>0.3999999999999293</c:v>
                </c:pt>
                <c:pt idx="541">
                  <c:v>0.40999999999992909</c:v>
                </c:pt>
                <c:pt idx="542">
                  <c:v>0.41999999999992887</c:v>
                </c:pt>
                <c:pt idx="543">
                  <c:v>0.42999999999992866</c:v>
                </c:pt>
                <c:pt idx="544">
                  <c:v>0.43999999999992845</c:v>
                </c:pt>
                <c:pt idx="545">
                  <c:v>0.44999999999992824</c:v>
                </c:pt>
                <c:pt idx="546">
                  <c:v>0.45999999999992802</c:v>
                </c:pt>
                <c:pt idx="547">
                  <c:v>0.46999999999992781</c:v>
                </c:pt>
                <c:pt idx="548">
                  <c:v>0.4799999999999276</c:v>
                </c:pt>
                <c:pt idx="549">
                  <c:v>0.48999999999992738</c:v>
                </c:pt>
                <c:pt idx="550">
                  <c:v>0.49999999999992717</c:v>
                </c:pt>
                <c:pt idx="551">
                  <c:v>0.50999999999992696</c:v>
                </c:pt>
                <c:pt idx="552">
                  <c:v>0.51999999999992674</c:v>
                </c:pt>
                <c:pt idx="553">
                  <c:v>0.52999999999992653</c:v>
                </c:pt>
                <c:pt idx="554">
                  <c:v>0.53999999999992632</c:v>
                </c:pt>
                <c:pt idx="555">
                  <c:v>0.5499999999999261</c:v>
                </c:pt>
                <c:pt idx="556">
                  <c:v>0.55999999999992589</c:v>
                </c:pt>
                <c:pt idx="557">
                  <c:v>0.56999999999992568</c:v>
                </c:pt>
                <c:pt idx="558">
                  <c:v>0.57999999999992546</c:v>
                </c:pt>
                <c:pt idx="559">
                  <c:v>0.58999999999992525</c:v>
                </c:pt>
                <c:pt idx="560">
                  <c:v>0.59999999999992504</c:v>
                </c:pt>
                <c:pt idx="561">
                  <c:v>0.60999999999992482</c:v>
                </c:pt>
                <c:pt idx="562">
                  <c:v>0.61999999999992461</c:v>
                </c:pt>
                <c:pt idx="563">
                  <c:v>0.6299999999999244</c:v>
                </c:pt>
                <c:pt idx="564">
                  <c:v>0.63999999999992419</c:v>
                </c:pt>
                <c:pt idx="565">
                  <c:v>0.64999999999992397</c:v>
                </c:pt>
                <c:pt idx="566">
                  <c:v>0.65999999999992376</c:v>
                </c:pt>
                <c:pt idx="567">
                  <c:v>0.66999999999992355</c:v>
                </c:pt>
                <c:pt idx="568">
                  <c:v>0.67999999999992333</c:v>
                </c:pt>
                <c:pt idx="569">
                  <c:v>0.68999999999992312</c:v>
                </c:pt>
                <c:pt idx="570">
                  <c:v>0.69999999999992291</c:v>
                </c:pt>
                <c:pt idx="571">
                  <c:v>0.70999999999992269</c:v>
                </c:pt>
                <c:pt idx="572">
                  <c:v>0.71999999999992248</c:v>
                </c:pt>
                <c:pt idx="573">
                  <c:v>0.72999999999992227</c:v>
                </c:pt>
                <c:pt idx="574">
                  <c:v>0.73999999999992205</c:v>
                </c:pt>
                <c:pt idx="575">
                  <c:v>0.74999999999992184</c:v>
                </c:pt>
                <c:pt idx="576">
                  <c:v>0.75999999999992163</c:v>
                </c:pt>
                <c:pt idx="577">
                  <c:v>0.76999999999992141</c:v>
                </c:pt>
                <c:pt idx="578">
                  <c:v>0.7799999999999212</c:v>
                </c:pt>
                <c:pt idx="579">
                  <c:v>0.78999999999992099</c:v>
                </c:pt>
                <c:pt idx="580">
                  <c:v>0.79999999999992077</c:v>
                </c:pt>
                <c:pt idx="581">
                  <c:v>0.80999999999992056</c:v>
                </c:pt>
                <c:pt idx="582">
                  <c:v>0.81999999999992035</c:v>
                </c:pt>
                <c:pt idx="583">
                  <c:v>0.82999999999992013</c:v>
                </c:pt>
                <c:pt idx="584">
                  <c:v>0.83999999999991992</c:v>
                </c:pt>
                <c:pt idx="585">
                  <c:v>0.84999999999991971</c:v>
                </c:pt>
                <c:pt idx="586">
                  <c:v>0.8599999999999195</c:v>
                </c:pt>
                <c:pt idx="587">
                  <c:v>0.86999999999991928</c:v>
                </c:pt>
                <c:pt idx="588">
                  <c:v>0.87999999999991907</c:v>
                </c:pt>
                <c:pt idx="589">
                  <c:v>0.88999999999991886</c:v>
                </c:pt>
                <c:pt idx="590">
                  <c:v>0.89999999999991864</c:v>
                </c:pt>
                <c:pt idx="591">
                  <c:v>0.90999999999991843</c:v>
                </c:pt>
                <c:pt idx="592">
                  <c:v>0.91999999999991822</c:v>
                </c:pt>
                <c:pt idx="593">
                  <c:v>0.929999999999918</c:v>
                </c:pt>
                <c:pt idx="594">
                  <c:v>0.93999999999991779</c:v>
                </c:pt>
                <c:pt idx="595">
                  <c:v>0.94999999999991758</c:v>
                </c:pt>
                <c:pt idx="596">
                  <c:v>0.95999999999991736</c:v>
                </c:pt>
                <c:pt idx="597">
                  <c:v>0.96999999999991715</c:v>
                </c:pt>
                <c:pt idx="598">
                  <c:v>0.97999999999991694</c:v>
                </c:pt>
                <c:pt idx="599">
                  <c:v>0.98999999999991672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9-49C8-8A1C-25F3D2C27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2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Calced'!$D:$D</c:f>
              <c:numCache>
                <c:formatCode>General</c:formatCode>
                <c:ptCount val="1048576"/>
                <c:pt idx="1">
                  <c:v>0.98999999999991672</c:v>
                </c:pt>
                <c:pt idx="2">
                  <c:v>0.98999999999991672</c:v>
                </c:pt>
                <c:pt idx="3">
                  <c:v>0.98999999999991672</c:v>
                </c:pt>
                <c:pt idx="4">
                  <c:v>0.98999999999991672</c:v>
                </c:pt>
                <c:pt idx="5">
                  <c:v>0.98999999999991672</c:v>
                </c:pt>
                <c:pt idx="6">
                  <c:v>0.98999999999991672</c:v>
                </c:pt>
                <c:pt idx="7">
                  <c:v>0.98999999999991672</c:v>
                </c:pt>
                <c:pt idx="8">
                  <c:v>0.98999999999991672</c:v>
                </c:pt>
                <c:pt idx="9">
                  <c:v>0.98999999999991672</c:v>
                </c:pt>
                <c:pt idx="10">
                  <c:v>0.98999999999991672</c:v>
                </c:pt>
                <c:pt idx="11">
                  <c:v>0.98999999999991672</c:v>
                </c:pt>
                <c:pt idx="12">
                  <c:v>0.98999999999991672</c:v>
                </c:pt>
                <c:pt idx="13">
                  <c:v>0.98999999999991672</c:v>
                </c:pt>
                <c:pt idx="14">
                  <c:v>0.98999999999991672</c:v>
                </c:pt>
                <c:pt idx="15">
                  <c:v>0.98999999999991672</c:v>
                </c:pt>
                <c:pt idx="16">
                  <c:v>0.98999999999991672</c:v>
                </c:pt>
                <c:pt idx="17">
                  <c:v>0.98999999999991672</c:v>
                </c:pt>
                <c:pt idx="18">
                  <c:v>0.98999999999991672</c:v>
                </c:pt>
                <c:pt idx="19">
                  <c:v>0.98999999999991672</c:v>
                </c:pt>
                <c:pt idx="20">
                  <c:v>0.98999999999991672</c:v>
                </c:pt>
                <c:pt idx="21">
                  <c:v>0.98999999999991672</c:v>
                </c:pt>
                <c:pt idx="22">
                  <c:v>0.98999999999991672</c:v>
                </c:pt>
                <c:pt idx="23">
                  <c:v>0.98999999999991672</c:v>
                </c:pt>
                <c:pt idx="24">
                  <c:v>0.98999999999991672</c:v>
                </c:pt>
                <c:pt idx="25">
                  <c:v>0.98999999999991672</c:v>
                </c:pt>
                <c:pt idx="26">
                  <c:v>0.98999999999991672</c:v>
                </c:pt>
                <c:pt idx="27">
                  <c:v>0.98999999999991672</c:v>
                </c:pt>
                <c:pt idx="28">
                  <c:v>0.98999999999991672</c:v>
                </c:pt>
                <c:pt idx="29">
                  <c:v>0.98999999999991672</c:v>
                </c:pt>
                <c:pt idx="30">
                  <c:v>0.98999999999991672</c:v>
                </c:pt>
                <c:pt idx="31">
                  <c:v>0.98999999999991672</c:v>
                </c:pt>
                <c:pt idx="32">
                  <c:v>0.98999999999991672</c:v>
                </c:pt>
                <c:pt idx="33">
                  <c:v>0.98999999999991672</c:v>
                </c:pt>
                <c:pt idx="34">
                  <c:v>0.98999999999991672</c:v>
                </c:pt>
                <c:pt idx="35">
                  <c:v>0.98999999999991672</c:v>
                </c:pt>
                <c:pt idx="36">
                  <c:v>0.98999999999991672</c:v>
                </c:pt>
                <c:pt idx="37">
                  <c:v>0.98999999999991672</c:v>
                </c:pt>
                <c:pt idx="38">
                  <c:v>0.98999999999991672</c:v>
                </c:pt>
                <c:pt idx="39">
                  <c:v>0.98999999999991672</c:v>
                </c:pt>
                <c:pt idx="40">
                  <c:v>0.98999999999991672</c:v>
                </c:pt>
                <c:pt idx="41">
                  <c:v>0.98999999999991672</c:v>
                </c:pt>
                <c:pt idx="42">
                  <c:v>0.98999999999991672</c:v>
                </c:pt>
                <c:pt idx="43">
                  <c:v>0.98999999999991672</c:v>
                </c:pt>
                <c:pt idx="44">
                  <c:v>0.98999999999991672</c:v>
                </c:pt>
                <c:pt idx="45">
                  <c:v>0.98999999999991672</c:v>
                </c:pt>
                <c:pt idx="46">
                  <c:v>0.98999999999991672</c:v>
                </c:pt>
                <c:pt idx="47">
                  <c:v>0.98999999999991672</c:v>
                </c:pt>
                <c:pt idx="48">
                  <c:v>0.98999999999991672</c:v>
                </c:pt>
                <c:pt idx="49">
                  <c:v>0.98999999999991672</c:v>
                </c:pt>
                <c:pt idx="50">
                  <c:v>0.98999999999991672</c:v>
                </c:pt>
                <c:pt idx="51">
                  <c:v>0.98999999999991672</c:v>
                </c:pt>
                <c:pt idx="52">
                  <c:v>0.98999999999991672</c:v>
                </c:pt>
                <c:pt idx="53">
                  <c:v>0.98999999999991672</c:v>
                </c:pt>
                <c:pt idx="54">
                  <c:v>0.98999999999991672</c:v>
                </c:pt>
                <c:pt idx="55">
                  <c:v>0.98999999999991672</c:v>
                </c:pt>
                <c:pt idx="56">
                  <c:v>0.98999999999991672</c:v>
                </c:pt>
                <c:pt idx="57">
                  <c:v>0.98999999999991672</c:v>
                </c:pt>
                <c:pt idx="58">
                  <c:v>0.98999999999991672</c:v>
                </c:pt>
                <c:pt idx="59">
                  <c:v>0.98999999999991672</c:v>
                </c:pt>
                <c:pt idx="60">
                  <c:v>0.98999999999991672</c:v>
                </c:pt>
                <c:pt idx="61">
                  <c:v>0.98999999999991672</c:v>
                </c:pt>
                <c:pt idx="62">
                  <c:v>0.98999999999991672</c:v>
                </c:pt>
                <c:pt idx="63">
                  <c:v>0.98999999999991672</c:v>
                </c:pt>
                <c:pt idx="64">
                  <c:v>0.98999999999991672</c:v>
                </c:pt>
                <c:pt idx="65">
                  <c:v>0.98999999999991672</c:v>
                </c:pt>
                <c:pt idx="66">
                  <c:v>0.98999999999991672</c:v>
                </c:pt>
                <c:pt idx="67">
                  <c:v>0.98999999999991672</c:v>
                </c:pt>
                <c:pt idx="68">
                  <c:v>0.98999999999991672</c:v>
                </c:pt>
                <c:pt idx="69">
                  <c:v>0.98999999999991672</c:v>
                </c:pt>
                <c:pt idx="70">
                  <c:v>0.98999999999991672</c:v>
                </c:pt>
                <c:pt idx="71">
                  <c:v>0.98999999999991672</c:v>
                </c:pt>
                <c:pt idx="72">
                  <c:v>0.98999999999991672</c:v>
                </c:pt>
                <c:pt idx="73">
                  <c:v>0.98999999999991672</c:v>
                </c:pt>
                <c:pt idx="74">
                  <c:v>0.98999999999991672</c:v>
                </c:pt>
                <c:pt idx="75">
                  <c:v>0.98999999999991672</c:v>
                </c:pt>
                <c:pt idx="76">
                  <c:v>0.98999999999991672</c:v>
                </c:pt>
                <c:pt idx="77">
                  <c:v>0.98999999999991672</c:v>
                </c:pt>
                <c:pt idx="78">
                  <c:v>0.98999999999991672</c:v>
                </c:pt>
                <c:pt idx="79">
                  <c:v>0.98999999999991672</c:v>
                </c:pt>
                <c:pt idx="80">
                  <c:v>0.98999999999991672</c:v>
                </c:pt>
                <c:pt idx="81">
                  <c:v>0.98999999999991672</c:v>
                </c:pt>
                <c:pt idx="82">
                  <c:v>0.98999999999991672</c:v>
                </c:pt>
                <c:pt idx="83">
                  <c:v>0.98999999999991672</c:v>
                </c:pt>
                <c:pt idx="84">
                  <c:v>0.98999999999991672</c:v>
                </c:pt>
                <c:pt idx="85">
                  <c:v>0.98999999999991672</c:v>
                </c:pt>
                <c:pt idx="86">
                  <c:v>0.98999999999991672</c:v>
                </c:pt>
                <c:pt idx="87">
                  <c:v>0.98999999999991672</c:v>
                </c:pt>
                <c:pt idx="88">
                  <c:v>0.98999999999991672</c:v>
                </c:pt>
                <c:pt idx="89">
                  <c:v>0.98999999999991672</c:v>
                </c:pt>
                <c:pt idx="90">
                  <c:v>0.98999999999991672</c:v>
                </c:pt>
                <c:pt idx="91">
                  <c:v>0.98999999999991672</c:v>
                </c:pt>
                <c:pt idx="92">
                  <c:v>0.98999999999991672</c:v>
                </c:pt>
                <c:pt idx="93">
                  <c:v>0.98999999999991672</c:v>
                </c:pt>
                <c:pt idx="94">
                  <c:v>0.98999999999991672</c:v>
                </c:pt>
                <c:pt idx="95">
                  <c:v>0.98999999999991672</c:v>
                </c:pt>
                <c:pt idx="96">
                  <c:v>0.98999999999991672</c:v>
                </c:pt>
                <c:pt idx="97">
                  <c:v>0.98999999999991672</c:v>
                </c:pt>
                <c:pt idx="98">
                  <c:v>0.98999999999991672</c:v>
                </c:pt>
                <c:pt idx="99">
                  <c:v>0.98999999999991672</c:v>
                </c:pt>
                <c:pt idx="100">
                  <c:v>-0.99999999999999933</c:v>
                </c:pt>
                <c:pt idx="101">
                  <c:v>-0.98999999999999932</c:v>
                </c:pt>
                <c:pt idx="102">
                  <c:v>-0.97999999999999932</c:v>
                </c:pt>
                <c:pt idx="103">
                  <c:v>-0.96999999999999931</c:v>
                </c:pt>
                <c:pt idx="104">
                  <c:v>-0.9599999999999993</c:v>
                </c:pt>
                <c:pt idx="105">
                  <c:v>-0.94999999999999929</c:v>
                </c:pt>
                <c:pt idx="106">
                  <c:v>-0.93999999999999928</c:v>
                </c:pt>
                <c:pt idx="107">
                  <c:v>-0.92999999999999927</c:v>
                </c:pt>
                <c:pt idx="108">
                  <c:v>-0.91999999999999926</c:v>
                </c:pt>
                <c:pt idx="109">
                  <c:v>-0.90999999999999925</c:v>
                </c:pt>
                <c:pt idx="110">
                  <c:v>-0.89999999999999925</c:v>
                </c:pt>
                <c:pt idx="111">
                  <c:v>-0.88999999999999924</c:v>
                </c:pt>
                <c:pt idx="112">
                  <c:v>-0.87999999999999923</c:v>
                </c:pt>
                <c:pt idx="113">
                  <c:v>-0.86999999999999922</c:v>
                </c:pt>
                <c:pt idx="114">
                  <c:v>-0.85999999999999921</c:v>
                </c:pt>
                <c:pt idx="115">
                  <c:v>-0.8499999999999992</c:v>
                </c:pt>
                <c:pt idx="116">
                  <c:v>-0.83999999999999919</c:v>
                </c:pt>
                <c:pt idx="117">
                  <c:v>-0.82999999999999918</c:v>
                </c:pt>
                <c:pt idx="118">
                  <c:v>-0.81999999999999917</c:v>
                </c:pt>
                <c:pt idx="119">
                  <c:v>-0.80999999999999917</c:v>
                </c:pt>
                <c:pt idx="120">
                  <c:v>-0.79999999999999916</c:v>
                </c:pt>
                <c:pt idx="121">
                  <c:v>-0.78999999999999915</c:v>
                </c:pt>
                <c:pt idx="122">
                  <c:v>-0.77999999999999914</c:v>
                </c:pt>
                <c:pt idx="123">
                  <c:v>-0.76999999999999913</c:v>
                </c:pt>
                <c:pt idx="124">
                  <c:v>-0.75999999999999912</c:v>
                </c:pt>
                <c:pt idx="125">
                  <c:v>-0.74999999999999911</c:v>
                </c:pt>
                <c:pt idx="126">
                  <c:v>-0.7399999999999991</c:v>
                </c:pt>
                <c:pt idx="127">
                  <c:v>-0.72999999999999909</c:v>
                </c:pt>
                <c:pt idx="128">
                  <c:v>-0.71999999999999909</c:v>
                </c:pt>
                <c:pt idx="129">
                  <c:v>-0.70999999999999908</c:v>
                </c:pt>
                <c:pt idx="130">
                  <c:v>-0.69999999999999907</c:v>
                </c:pt>
                <c:pt idx="131">
                  <c:v>-0.68999999999999906</c:v>
                </c:pt>
                <c:pt idx="132">
                  <c:v>-0.67999999999999905</c:v>
                </c:pt>
                <c:pt idx="133">
                  <c:v>-0.66999999999999904</c:v>
                </c:pt>
                <c:pt idx="134">
                  <c:v>-0.65999999999999903</c:v>
                </c:pt>
                <c:pt idx="135">
                  <c:v>-0.64999999999999902</c:v>
                </c:pt>
                <c:pt idx="136">
                  <c:v>-0.63999999999999901</c:v>
                </c:pt>
                <c:pt idx="137">
                  <c:v>-0.62999999999999901</c:v>
                </c:pt>
                <c:pt idx="138">
                  <c:v>-0.619999999999999</c:v>
                </c:pt>
                <c:pt idx="139">
                  <c:v>-0.60999999999999899</c:v>
                </c:pt>
                <c:pt idx="140">
                  <c:v>-0.59999999999999898</c:v>
                </c:pt>
                <c:pt idx="141">
                  <c:v>-0.58999999999999897</c:v>
                </c:pt>
                <c:pt idx="142">
                  <c:v>-0.57999999999999896</c:v>
                </c:pt>
                <c:pt idx="143">
                  <c:v>-0.56999999999999895</c:v>
                </c:pt>
                <c:pt idx="144">
                  <c:v>-0.55999999999999894</c:v>
                </c:pt>
                <c:pt idx="145">
                  <c:v>-0.54999999999999893</c:v>
                </c:pt>
                <c:pt idx="146">
                  <c:v>-0.53999999999999893</c:v>
                </c:pt>
                <c:pt idx="147">
                  <c:v>-0.52999999999999892</c:v>
                </c:pt>
                <c:pt idx="148">
                  <c:v>-0.51999999999999891</c:v>
                </c:pt>
                <c:pt idx="149">
                  <c:v>-0.5099999999999989</c:v>
                </c:pt>
                <c:pt idx="150">
                  <c:v>-0.49999999999999889</c:v>
                </c:pt>
                <c:pt idx="151">
                  <c:v>-0.48999999999999888</c:v>
                </c:pt>
                <c:pt idx="152">
                  <c:v>-0.47999999999999887</c:v>
                </c:pt>
                <c:pt idx="153">
                  <c:v>-0.46999999999999886</c:v>
                </c:pt>
                <c:pt idx="154">
                  <c:v>-0.45999999999999885</c:v>
                </c:pt>
                <c:pt idx="155">
                  <c:v>-0.44999999999999885</c:v>
                </c:pt>
                <c:pt idx="156">
                  <c:v>-0.43999999999999884</c:v>
                </c:pt>
                <c:pt idx="157">
                  <c:v>-0.42999999999999883</c:v>
                </c:pt>
                <c:pt idx="158">
                  <c:v>-0.41999999999999882</c:v>
                </c:pt>
                <c:pt idx="159">
                  <c:v>-0.40999999999999881</c:v>
                </c:pt>
                <c:pt idx="160">
                  <c:v>-0.3999999999999988</c:v>
                </c:pt>
                <c:pt idx="161">
                  <c:v>-0.38999999999999879</c:v>
                </c:pt>
                <c:pt idx="162">
                  <c:v>-0.37999999999999878</c:v>
                </c:pt>
                <c:pt idx="163">
                  <c:v>-0.36999999999999877</c:v>
                </c:pt>
                <c:pt idx="164">
                  <c:v>-0.35999999999999877</c:v>
                </c:pt>
                <c:pt idx="165">
                  <c:v>-0.34999999999999876</c:v>
                </c:pt>
                <c:pt idx="166">
                  <c:v>-0.33999999999999875</c:v>
                </c:pt>
                <c:pt idx="167">
                  <c:v>-0.32999999999999874</c:v>
                </c:pt>
                <c:pt idx="168">
                  <c:v>-0.31999999999999873</c:v>
                </c:pt>
                <c:pt idx="169">
                  <c:v>-0.30999999999999872</c:v>
                </c:pt>
                <c:pt idx="170">
                  <c:v>-0.29999999999999871</c:v>
                </c:pt>
                <c:pt idx="171">
                  <c:v>-0.2899999999999987</c:v>
                </c:pt>
                <c:pt idx="172">
                  <c:v>-0.27999999999999869</c:v>
                </c:pt>
                <c:pt idx="173">
                  <c:v>-0.26999999999999869</c:v>
                </c:pt>
                <c:pt idx="174">
                  <c:v>-0.25999999999999868</c:v>
                </c:pt>
                <c:pt idx="175">
                  <c:v>-0.24999999999999867</c:v>
                </c:pt>
                <c:pt idx="176">
                  <c:v>-0.23999999999999866</c:v>
                </c:pt>
                <c:pt idx="177">
                  <c:v>-0.22999999999999865</c:v>
                </c:pt>
                <c:pt idx="178">
                  <c:v>-0.21999999999999864</c:v>
                </c:pt>
                <c:pt idx="179">
                  <c:v>-0.20999999999999863</c:v>
                </c:pt>
                <c:pt idx="180">
                  <c:v>-0.19999999999999862</c:v>
                </c:pt>
                <c:pt idx="181">
                  <c:v>-0.18999999999999861</c:v>
                </c:pt>
                <c:pt idx="182">
                  <c:v>-0.17999999999999861</c:v>
                </c:pt>
                <c:pt idx="183">
                  <c:v>-0.1699999999999986</c:v>
                </c:pt>
                <c:pt idx="184">
                  <c:v>-0.15999999999999859</c:v>
                </c:pt>
                <c:pt idx="185">
                  <c:v>-0.14999999999999858</c:v>
                </c:pt>
                <c:pt idx="186">
                  <c:v>-0.13999999999999857</c:v>
                </c:pt>
                <c:pt idx="187">
                  <c:v>-0.12999999999999856</c:v>
                </c:pt>
                <c:pt idx="188">
                  <c:v>-0.11999999999999855</c:v>
                </c:pt>
                <c:pt idx="189">
                  <c:v>-0.10999999999999854</c:v>
                </c:pt>
                <c:pt idx="190">
                  <c:v>-9.9999999999998535E-2</c:v>
                </c:pt>
                <c:pt idx="191">
                  <c:v>-8.9999999999998526E-2</c:v>
                </c:pt>
                <c:pt idx="192">
                  <c:v>-7.9999999999998517E-2</c:v>
                </c:pt>
                <c:pt idx="193">
                  <c:v>-6.9999999999998508E-2</c:v>
                </c:pt>
                <c:pt idx="194">
                  <c:v>-5.9999999999998499E-2</c:v>
                </c:pt>
                <c:pt idx="195">
                  <c:v>-4.999999999999849E-2</c:v>
                </c:pt>
                <c:pt idx="196">
                  <c:v>-3.9999999999998481E-2</c:v>
                </c:pt>
                <c:pt idx="197">
                  <c:v>-2.9999999999998472E-2</c:v>
                </c:pt>
                <c:pt idx="198">
                  <c:v>-1.9999999999998463E-2</c:v>
                </c:pt>
                <c:pt idx="199">
                  <c:v>-9.9999999999984546E-3</c:v>
                </c:pt>
                <c:pt idx="200">
                  <c:v>1.3322676295501878E-15</c:v>
                </c:pt>
                <c:pt idx="201">
                  <c:v>1.0000000000001119E-2</c:v>
                </c:pt>
                <c:pt idx="202">
                  <c:v>2.0000000000000906E-2</c:v>
                </c:pt>
                <c:pt idx="203">
                  <c:v>3.0000000000000693E-2</c:v>
                </c:pt>
                <c:pt idx="204">
                  <c:v>4.000000000000048E-2</c:v>
                </c:pt>
                <c:pt idx="205">
                  <c:v>5.0000000000000266E-2</c:v>
                </c:pt>
                <c:pt idx="206">
                  <c:v>6.0000000000000053E-2</c:v>
                </c:pt>
                <c:pt idx="207">
                  <c:v>6.999999999999984E-2</c:v>
                </c:pt>
                <c:pt idx="208">
                  <c:v>7.9999999999999627E-2</c:v>
                </c:pt>
                <c:pt idx="209">
                  <c:v>8.9999999999999414E-2</c:v>
                </c:pt>
                <c:pt idx="210">
                  <c:v>9.9999999999999201E-2</c:v>
                </c:pt>
                <c:pt idx="211">
                  <c:v>0.10999999999999899</c:v>
                </c:pt>
                <c:pt idx="212">
                  <c:v>0.11999999999999877</c:v>
                </c:pt>
                <c:pt idx="213">
                  <c:v>0.12999999999999856</c:v>
                </c:pt>
                <c:pt idx="214">
                  <c:v>0.13999999999999835</c:v>
                </c:pt>
                <c:pt idx="215">
                  <c:v>0.14999999999999813</c:v>
                </c:pt>
                <c:pt idx="216">
                  <c:v>0.15999999999999792</c:v>
                </c:pt>
                <c:pt idx="217">
                  <c:v>0.16999999999999771</c:v>
                </c:pt>
                <c:pt idx="218">
                  <c:v>0.1799999999999975</c:v>
                </c:pt>
                <c:pt idx="219">
                  <c:v>0.18999999999999728</c:v>
                </c:pt>
                <c:pt idx="220">
                  <c:v>0.19999999999999707</c:v>
                </c:pt>
                <c:pt idx="221">
                  <c:v>0.20999999999999686</c:v>
                </c:pt>
                <c:pt idx="222">
                  <c:v>0.21999999999999664</c:v>
                </c:pt>
                <c:pt idx="223">
                  <c:v>0.22999999999999643</c:v>
                </c:pt>
                <c:pt idx="224">
                  <c:v>0.23999999999999622</c:v>
                </c:pt>
                <c:pt idx="225">
                  <c:v>0.249999999999996</c:v>
                </c:pt>
                <c:pt idx="226">
                  <c:v>0.25999999999999579</c:v>
                </c:pt>
                <c:pt idx="227">
                  <c:v>0.26999999999999558</c:v>
                </c:pt>
                <c:pt idx="228">
                  <c:v>0.27999999999999536</c:v>
                </c:pt>
                <c:pt idx="229">
                  <c:v>0.28999999999999515</c:v>
                </c:pt>
                <c:pt idx="230">
                  <c:v>0.29999999999999494</c:v>
                </c:pt>
                <c:pt idx="231">
                  <c:v>0.30999999999999472</c:v>
                </c:pt>
                <c:pt idx="232">
                  <c:v>0.31999999999999451</c:v>
                </c:pt>
                <c:pt idx="233">
                  <c:v>0.3299999999999943</c:v>
                </c:pt>
                <c:pt idx="234">
                  <c:v>0.33999999999999408</c:v>
                </c:pt>
                <c:pt idx="235">
                  <c:v>0.34999999999999387</c:v>
                </c:pt>
                <c:pt idx="236">
                  <c:v>0.35999999999999366</c:v>
                </c:pt>
                <c:pt idx="237">
                  <c:v>0.36999999999999345</c:v>
                </c:pt>
                <c:pt idx="238">
                  <c:v>0.37999999999999323</c:v>
                </c:pt>
                <c:pt idx="239">
                  <c:v>0.38999999999999302</c:v>
                </c:pt>
                <c:pt idx="240">
                  <c:v>0.39999999999999281</c:v>
                </c:pt>
                <c:pt idx="241">
                  <c:v>0.40999999999999259</c:v>
                </c:pt>
                <c:pt idx="242">
                  <c:v>0.41999999999999238</c:v>
                </c:pt>
                <c:pt idx="243">
                  <c:v>0.42999999999999217</c:v>
                </c:pt>
                <c:pt idx="244">
                  <c:v>0.43999999999999195</c:v>
                </c:pt>
                <c:pt idx="245">
                  <c:v>0.44999999999999174</c:v>
                </c:pt>
                <c:pt idx="246">
                  <c:v>0.45999999999999153</c:v>
                </c:pt>
                <c:pt idx="247">
                  <c:v>0.46999999999999131</c:v>
                </c:pt>
                <c:pt idx="248">
                  <c:v>0.4799999999999911</c:v>
                </c:pt>
                <c:pt idx="249">
                  <c:v>0.48999999999999089</c:v>
                </c:pt>
                <c:pt idx="250">
                  <c:v>0.49999999999999067</c:v>
                </c:pt>
                <c:pt idx="251">
                  <c:v>0.50999999999999046</c:v>
                </c:pt>
                <c:pt idx="252">
                  <c:v>0.51999999999999025</c:v>
                </c:pt>
                <c:pt idx="253">
                  <c:v>0.52999999999999003</c:v>
                </c:pt>
                <c:pt idx="254">
                  <c:v>0.53999999999998982</c:v>
                </c:pt>
                <c:pt idx="255">
                  <c:v>0.54999999999998961</c:v>
                </c:pt>
                <c:pt idx="256">
                  <c:v>0.5599999999999894</c:v>
                </c:pt>
                <c:pt idx="257">
                  <c:v>0.56999999999998918</c:v>
                </c:pt>
                <c:pt idx="258">
                  <c:v>0.57999999999998897</c:v>
                </c:pt>
                <c:pt idx="259">
                  <c:v>0.58999999999998876</c:v>
                </c:pt>
                <c:pt idx="260">
                  <c:v>0.59999999999998854</c:v>
                </c:pt>
                <c:pt idx="261">
                  <c:v>0.60999999999998833</c:v>
                </c:pt>
                <c:pt idx="262">
                  <c:v>0.61999999999998812</c:v>
                </c:pt>
                <c:pt idx="263">
                  <c:v>0.6299999999999879</c:v>
                </c:pt>
                <c:pt idx="264">
                  <c:v>0.63999999999998769</c:v>
                </c:pt>
                <c:pt idx="265">
                  <c:v>0.64999999999998748</c:v>
                </c:pt>
                <c:pt idx="266">
                  <c:v>0.65999999999998726</c:v>
                </c:pt>
                <c:pt idx="267">
                  <c:v>0.66999999999998705</c:v>
                </c:pt>
                <c:pt idx="268">
                  <c:v>0.67999999999998684</c:v>
                </c:pt>
                <c:pt idx="269">
                  <c:v>0.68999999999998662</c:v>
                </c:pt>
                <c:pt idx="270">
                  <c:v>0.69999999999998641</c:v>
                </c:pt>
                <c:pt idx="271">
                  <c:v>0.7099999999999862</c:v>
                </c:pt>
                <c:pt idx="272">
                  <c:v>0.71999999999998598</c:v>
                </c:pt>
                <c:pt idx="273">
                  <c:v>0.72999999999998577</c:v>
                </c:pt>
                <c:pt idx="274">
                  <c:v>0.73999999999998556</c:v>
                </c:pt>
                <c:pt idx="275">
                  <c:v>0.74999999999998535</c:v>
                </c:pt>
                <c:pt idx="276">
                  <c:v>0.75999999999998513</c:v>
                </c:pt>
                <c:pt idx="277">
                  <c:v>0.76999999999998492</c:v>
                </c:pt>
                <c:pt idx="278">
                  <c:v>0.77999999999998471</c:v>
                </c:pt>
                <c:pt idx="279">
                  <c:v>0.78999999999998449</c:v>
                </c:pt>
                <c:pt idx="280">
                  <c:v>0.79999999999998428</c:v>
                </c:pt>
                <c:pt idx="281">
                  <c:v>0.80999999999998407</c:v>
                </c:pt>
                <c:pt idx="282">
                  <c:v>0.81999999999998385</c:v>
                </c:pt>
                <c:pt idx="283">
                  <c:v>0.82999999999998364</c:v>
                </c:pt>
                <c:pt idx="284">
                  <c:v>0.83999999999998343</c:v>
                </c:pt>
                <c:pt idx="285">
                  <c:v>0.84999999999998321</c:v>
                </c:pt>
                <c:pt idx="286">
                  <c:v>0.859999999999983</c:v>
                </c:pt>
                <c:pt idx="287">
                  <c:v>0.86999999999998279</c:v>
                </c:pt>
                <c:pt idx="288">
                  <c:v>0.87999999999998257</c:v>
                </c:pt>
                <c:pt idx="289">
                  <c:v>0.88999999999998236</c:v>
                </c:pt>
                <c:pt idx="290">
                  <c:v>0.89999999999998215</c:v>
                </c:pt>
                <c:pt idx="291">
                  <c:v>0.90999999999998193</c:v>
                </c:pt>
                <c:pt idx="292">
                  <c:v>0.91999999999998172</c:v>
                </c:pt>
                <c:pt idx="293">
                  <c:v>0.92999999999998151</c:v>
                </c:pt>
                <c:pt idx="294">
                  <c:v>0.93999999999998129</c:v>
                </c:pt>
                <c:pt idx="295">
                  <c:v>0.94999999999998108</c:v>
                </c:pt>
                <c:pt idx="296">
                  <c:v>0.95999999999998087</c:v>
                </c:pt>
                <c:pt idx="297">
                  <c:v>0.96999999999998066</c:v>
                </c:pt>
                <c:pt idx="298">
                  <c:v>0.97999999999998044</c:v>
                </c:pt>
                <c:pt idx="299">
                  <c:v>0.98999999999998023</c:v>
                </c:pt>
                <c:pt idx="300">
                  <c:v>0.99999999999998002</c:v>
                </c:pt>
                <c:pt idx="301">
                  <c:v>0.9950000000000101</c:v>
                </c:pt>
                <c:pt idx="302">
                  <c:v>0.99000000000001021</c:v>
                </c:pt>
                <c:pt idx="303">
                  <c:v>0.98500000000001031</c:v>
                </c:pt>
                <c:pt idx="304">
                  <c:v>0.98000000000001042</c:v>
                </c:pt>
                <c:pt idx="305">
                  <c:v>0.97500000000001052</c:v>
                </c:pt>
                <c:pt idx="306">
                  <c:v>0.97000000000001063</c:v>
                </c:pt>
                <c:pt idx="307">
                  <c:v>0.96500000000001074</c:v>
                </c:pt>
                <c:pt idx="308">
                  <c:v>0.96000000000001084</c:v>
                </c:pt>
                <c:pt idx="309">
                  <c:v>0.95500000000001095</c:v>
                </c:pt>
                <c:pt idx="310">
                  <c:v>0.95000000000001106</c:v>
                </c:pt>
                <c:pt idx="311">
                  <c:v>0.94500000000001116</c:v>
                </c:pt>
                <c:pt idx="312">
                  <c:v>0.94000000000001127</c:v>
                </c:pt>
                <c:pt idx="313">
                  <c:v>0.93500000000001138</c:v>
                </c:pt>
                <c:pt idx="314">
                  <c:v>0.93000000000001148</c:v>
                </c:pt>
                <c:pt idx="315">
                  <c:v>0.92500000000001159</c:v>
                </c:pt>
                <c:pt idx="316">
                  <c:v>0.9200000000000117</c:v>
                </c:pt>
                <c:pt idx="317">
                  <c:v>0.9150000000000118</c:v>
                </c:pt>
                <c:pt idx="318">
                  <c:v>0.91000000000001191</c:v>
                </c:pt>
                <c:pt idx="319">
                  <c:v>0.90500000000001202</c:v>
                </c:pt>
                <c:pt idx="320">
                  <c:v>0.90000000000001212</c:v>
                </c:pt>
                <c:pt idx="321">
                  <c:v>0.89500000000001223</c:v>
                </c:pt>
                <c:pt idx="322">
                  <c:v>0.89000000000001234</c:v>
                </c:pt>
                <c:pt idx="323">
                  <c:v>0.88500000000001244</c:v>
                </c:pt>
                <c:pt idx="324">
                  <c:v>0.88000000000001255</c:v>
                </c:pt>
                <c:pt idx="325">
                  <c:v>0.87500000000001266</c:v>
                </c:pt>
                <c:pt idx="326">
                  <c:v>0.87000000000001276</c:v>
                </c:pt>
                <c:pt idx="327">
                  <c:v>0.86500000000001287</c:v>
                </c:pt>
                <c:pt idx="328">
                  <c:v>0.86000000000001298</c:v>
                </c:pt>
                <c:pt idx="329">
                  <c:v>0.85500000000001308</c:v>
                </c:pt>
                <c:pt idx="330">
                  <c:v>0.85000000000001319</c:v>
                </c:pt>
                <c:pt idx="331">
                  <c:v>0.8450000000000133</c:v>
                </c:pt>
                <c:pt idx="332">
                  <c:v>0.8400000000000134</c:v>
                </c:pt>
                <c:pt idx="333">
                  <c:v>0.83500000000001351</c:v>
                </c:pt>
                <c:pt idx="334">
                  <c:v>0.83000000000001362</c:v>
                </c:pt>
                <c:pt idx="335">
                  <c:v>0.82500000000001372</c:v>
                </c:pt>
                <c:pt idx="336">
                  <c:v>0.82000000000001383</c:v>
                </c:pt>
                <c:pt idx="337">
                  <c:v>0.81500000000001394</c:v>
                </c:pt>
                <c:pt idx="338">
                  <c:v>0.81000000000001404</c:v>
                </c:pt>
                <c:pt idx="339">
                  <c:v>0.80500000000001415</c:v>
                </c:pt>
                <c:pt idx="340">
                  <c:v>0.80000000000001426</c:v>
                </c:pt>
                <c:pt idx="341">
                  <c:v>0.79500000000001436</c:v>
                </c:pt>
                <c:pt idx="342">
                  <c:v>0.79000000000001447</c:v>
                </c:pt>
                <c:pt idx="343">
                  <c:v>0.78500000000001458</c:v>
                </c:pt>
                <c:pt idx="344">
                  <c:v>0.78000000000001468</c:v>
                </c:pt>
                <c:pt idx="345">
                  <c:v>0.77500000000001479</c:v>
                </c:pt>
                <c:pt idx="346">
                  <c:v>0.77000000000001489</c:v>
                </c:pt>
                <c:pt idx="347">
                  <c:v>0.765000000000015</c:v>
                </c:pt>
                <c:pt idx="348">
                  <c:v>0.76000000000001511</c:v>
                </c:pt>
                <c:pt idx="349">
                  <c:v>0.75500000000001521</c:v>
                </c:pt>
                <c:pt idx="350">
                  <c:v>0.75000000000001532</c:v>
                </c:pt>
                <c:pt idx="351">
                  <c:v>0.74500000000001543</c:v>
                </c:pt>
                <c:pt idx="352">
                  <c:v>0.74000000000001553</c:v>
                </c:pt>
                <c:pt idx="353">
                  <c:v>0.73500000000001564</c:v>
                </c:pt>
                <c:pt idx="354">
                  <c:v>0.73000000000001575</c:v>
                </c:pt>
                <c:pt idx="355">
                  <c:v>0.72500000000001585</c:v>
                </c:pt>
                <c:pt idx="356">
                  <c:v>0.72000000000001596</c:v>
                </c:pt>
                <c:pt idx="357">
                  <c:v>0.71500000000001607</c:v>
                </c:pt>
                <c:pt idx="358">
                  <c:v>0.71000000000001617</c:v>
                </c:pt>
                <c:pt idx="359">
                  <c:v>0.70500000000001628</c:v>
                </c:pt>
                <c:pt idx="360">
                  <c:v>0.70000000000001639</c:v>
                </c:pt>
                <c:pt idx="361">
                  <c:v>0.69500000000001649</c:v>
                </c:pt>
                <c:pt idx="362">
                  <c:v>0.6900000000000166</c:v>
                </c:pt>
                <c:pt idx="363">
                  <c:v>0.68500000000001671</c:v>
                </c:pt>
                <c:pt idx="364">
                  <c:v>0.68000000000001681</c:v>
                </c:pt>
                <c:pt idx="365">
                  <c:v>0.67500000000001692</c:v>
                </c:pt>
                <c:pt idx="366">
                  <c:v>0.67000000000001703</c:v>
                </c:pt>
                <c:pt idx="367">
                  <c:v>0.66500000000001713</c:v>
                </c:pt>
                <c:pt idx="368">
                  <c:v>0.66000000000001724</c:v>
                </c:pt>
                <c:pt idx="369">
                  <c:v>0.65500000000001735</c:v>
                </c:pt>
                <c:pt idx="370">
                  <c:v>0.65000000000001745</c:v>
                </c:pt>
                <c:pt idx="371">
                  <c:v>0.64500000000001756</c:v>
                </c:pt>
                <c:pt idx="372">
                  <c:v>0.64000000000001767</c:v>
                </c:pt>
                <c:pt idx="373">
                  <c:v>0.63500000000001777</c:v>
                </c:pt>
                <c:pt idx="374">
                  <c:v>0.63000000000001788</c:v>
                </c:pt>
                <c:pt idx="375">
                  <c:v>0.62500000000001799</c:v>
                </c:pt>
                <c:pt idx="376">
                  <c:v>0.62000000000001809</c:v>
                </c:pt>
                <c:pt idx="377">
                  <c:v>0.6150000000000182</c:v>
                </c:pt>
                <c:pt idx="378">
                  <c:v>0.61000000000001831</c:v>
                </c:pt>
                <c:pt idx="379">
                  <c:v>0.60500000000001841</c:v>
                </c:pt>
                <c:pt idx="380">
                  <c:v>0.60000000000001852</c:v>
                </c:pt>
                <c:pt idx="381">
                  <c:v>0.59500000000001863</c:v>
                </c:pt>
                <c:pt idx="382">
                  <c:v>0.59000000000001873</c:v>
                </c:pt>
                <c:pt idx="383">
                  <c:v>0.58500000000001884</c:v>
                </c:pt>
                <c:pt idx="384">
                  <c:v>0.58000000000001894</c:v>
                </c:pt>
                <c:pt idx="385">
                  <c:v>0.57500000000001905</c:v>
                </c:pt>
                <c:pt idx="386">
                  <c:v>0.57000000000001916</c:v>
                </c:pt>
                <c:pt idx="387">
                  <c:v>0.56500000000001926</c:v>
                </c:pt>
                <c:pt idx="388">
                  <c:v>0.56000000000001937</c:v>
                </c:pt>
                <c:pt idx="389">
                  <c:v>0.55500000000001948</c:v>
                </c:pt>
                <c:pt idx="390">
                  <c:v>0.55000000000001958</c:v>
                </c:pt>
                <c:pt idx="391">
                  <c:v>0.54500000000001969</c:v>
                </c:pt>
                <c:pt idx="392">
                  <c:v>0.5400000000000198</c:v>
                </c:pt>
                <c:pt idx="393">
                  <c:v>0.5350000000000199</c:v>
                </c:pt>
                <c:pt idx="394">
                  <c:v>0.53000000000002001</c:v>
                </c:pt>
                <c:pt idx="395">
                  <c:v>0.52500000000002012</c:v>
                </c:pt>
                <c:pt idx="396">
                  <c:v>0.52000000000002022</c:v>
                </c:pt>
                <c:pt idx="397">
                  <c:v>0.51500000000002033</c:v>
                </c:pt>
                <c:pt idx="398">
                  <c:v>0.51000000000002044</c:v>
                </c:pt>
                <c:pt idx="399">
                  <c:v>0.50500000000002054</c:v>
                </c:pt>
                <c:pt idx="400">
                  <c:v>0.50000000000002065</c:v>
                </c:pt>
                <c:pt idx="401">
                  <c:v>0.49500000000002053</c:v>
                </c:pt>
                <c:pt idx="402">
                  <c:v>0.49000000000002064</c:v>
                </c:pt>
                <c:pt idx="403">
                  <c:v>0.48500000000002075</c:v>
                </c:pt>
                <c:pt idx="404">
                  <c:v>0.48000000000002085</c:v>
                </c:pt>
                <c:pt idx="405">
                  <c:v>0.47500000000002096</c:v>
                </c:pt>
                <c:pt idx="406">
                  <c:v>0.47000000000002107</c:v>
                </c:pt>
                <c:pt idx="407">
                  <c:v>0.46500000000002117</c:v>
                </c:pt>
                <c:pt idx="408">
                  <c:v>0.46000000000002128</c:v>
                </c:pt>
                <c:pt idx="409">
                  <c:v>0.45500000000002139</c:v>
                </c:pt>
                <c:pt idx="410">
                  <c:v>0.45000000000002149</c:v>
                </c:pt>
                <c:pt idx="411">
                  <c:v>0.4450000000000216</c:v>
                </c:pt>
                <c:pt idx="412">
                  <c:v>0.44000000000002171</c:v>
                </c:pt>
                <c:pt idx="413">
                  <c:v>0.43500000000002181</c:v>
                </c:pt>
                <c:pt idx="414">
                  <c:v>0.43000000000002192</c:v>
                </c:pt>
                <c:pt idx="415">
                  <c:v>0.42500000000002203</c:v>
                </c:pt>
                <c:pt idx="416">
                  <c:v>0.42000000000002213</c:v>
                </c:pt>
                <c:pt idx="417">
                  <c:v>0.41500000000002224</c:v>
                </c:pt>
                <c:pt idx="418">
                  <c:v>0.41000000000002235</c:v>
                </c:pt>
                <c:pt idx="419">
                  <c:v>0.40500000000002245</c:v>
                </c:pt>
                <c:pt idx="420">
                  <c:v>0.40000000000002256</c:v>
                </c:pt>
                <c:pt idx="421">
                  <c:v>0.39500000000002267</c:v>
                </c:pt>
                <c:pt idx="422">
                  <c:v>0.39000000000002277</c:v>
                </c:pt>
                <c:pt idx="423">
                  <c:v>0.38500000000002288</c:v>
                </c:pt>
                <c:pt idx="424">
                  <c:v>0.38000000000002299</c:v>
                </c:pt>
                <c:pt idx="425">
                  <c:v>0.37500000000002309</c:v>
                </c:pt>
                <c:pt idx="426">
                  <c:v>0.3700000000000232</c:v>
                </c:pt>
                <c:pt idx="427">
                  <c:v>0.36500000000002331</c:v>
                </c:pt>
                <c:pt idx="428">
                  <c:v>0.36000000000002341</c:v>
                </c:pt>
                <c:pt idx="429">
                  <c:v>0.35500000000002352</c:v>
                </c:pt>
                <c:pt idx="430">
                  <c:v>0.35000000000002363</c:v>
                </c:pt>
                <c:pt idx="431">
                  <c:v>0.34500000000002373</c:v>
                </c:pt>
                <c:pt idx="432">
                  <c:v>0.34000000000002384</c:v>
                </c:pt>
                <c:pt idx="433">
                  <c:v>0.33500000000002395</c:v>
                </c:pt>
                <c:pt idx="434">
                  <c:v>0.33000000000002405</c:v>
                </c:pt>
                <c:pt idx="435">
                  <c:v>0.32500000000002416</c:v>
                </c:pt>
                <c:pt idx="436">
                  <c:v>0.32000000000002427</c:v>
                </c:pt>
                <c:pt idx="437">
                  <c:v>0.31500000000002437</c:v>
                </c:pt>
                <c:pt idx="438">
                  <c:v>0.31000000000002448</c:v>
                </c:pt>
                <c:pt idx="439">
                  <c:v>0.30500000000002458</c:v>
                </c:pt>
                <c:pt idx="440">
                  <c:v>0.30000000000002469</c:v>
                </c:pt>
                <c:pt idx="441">
                  <c:v>0.2950000000000248</c:v>
                </c:pt>
                <c:pt idx="442">
                  <c:v>0.2900000000000249</c:v>
                </c:pt>
                <c:pt idx="443">
                  <c:v>0.28500000000002501</c:v>
                </c:pt>
                <c:pt idx="444">
                  <c:v>0.28000000000002512</c:v>
                </c:pt>
                <c:pt idx="445">
                  <c:v>0.27500000000002522</c:v>
                </c:pt>
                <c:pt idx="446">
                  <c:v>0.27000000000002533</c:v>
                </c:pt>
                <c:pt idx="447">
                  <c:v>0.26500000000002544</c:v>
                </c:pt>
                <c:pt idx="448">
                  <c:v>0.26000000000002554</c:v>
                </c:pt>
                <c:pt idx="449">
                  <c:v>0.25500000000002565</c:v>
                </c:pt>
                <c:pt idx="450">
                  <c:v>0.25000000000002576</c:v>
                </c:pt>
                <c:pt idx="451">
                  <c:v>0.24500000000002586</c:v>
                </c:pt>
                <c:pt idx="452">
                  <c:v>0.24000000000002597</c:v>
                </c:pt>
                <c:pt idx="453">
                  <c:v>0.23500000000002608</c:v>
                </c:pt>
                <c:pt idx="454">
                  <c:v>0.23000000000002618</c:v>
                </c:pt>
                <c:pt idx="455">
                  <c:v>0.22500000000002629</c:v>
                </c:pt>
                <c:pt idx="456">
                  <c:v>0.2200000000000264</c:v>
                </c:pt>
                <c:pt idx="457">
                  <c:v>0.2150000000000265</c:v>
                </c:pt>
                <c:pt idx="458">
                  <c:v>0.21000000000002661</c:v>
                </c:pt>
                <c:pt idx="459">
                  <c:v>0.20500000000002672</c:v>
                </c:pt>
                <c:pt idx="460">
                  <c:v>0.20000000000002682</c:v>
                </c:pt>
                <c:pt idx="461">
                  <c:v>0.19500000000002693</c:v>
                </c:pt>
                <c:pt idx="462">
                  <c:v>0.19000000000002704</c:v>
                </c:pt>
                <c:pt idx="463">
                  <c:v>0.18500000000002714</c:v>
                </c:pt>
                <c:pt idx="464">
                  <c:v>0.18000000000002725</c:v>
                </c:pt>
                <c:pt idx="465">
                  <c:v>0.17500000000002736</c:v>
                </c:pt>
                <c:pt idx="466">
                  <c:v>0.17000000000002746</c:v>
                </c:pt>
                <c:pt idx="467">
                  <c:v>0.16500000000002757</c:v>
                </c:pt>
                <c:pt idx="468">
                  <c:v>0.16000000000002768</c:v>
                </c:pt>
                <c:pt idx="469">
                  <c:v>0.15500000000002778</c:v>
                </c:pt>
                <c:pt idx="470">
                  <c:v>0.15000000000002789</c:v>
                </c:pt>
                <c:pt idx="471">
                  <c:v>0.145000000000028</c:v>
                </c:pt>
                <c:pt idx="472">
                  <c:v>0.1400000000000281</c:v>
                </c:pt>
                <c:pt idx="473">
                  <c:v>0.13500000000002821</c:v>
                </c:pt>
                <c:pt idx="474">
                  <c:v>0.13000000000002832</c:v>
                </c:pt>
                <c:pt idx="475">
                  <c:v>0.12500000000002842</c:v>
                </c:pt>
                <c:pt idx="476">
                  <c:v>0.12000000000002853</c:v>
                </c:pt>
                <c:pt idx="477">
                  <c:v>0.11500000000002863</c:v>
                </c:pt>
                <c:pt idx="478">
                  <c:v>0.11000000000002874</c:v>
                </c:pt>
                <c:pt idx="479">
                  <c:v>0.10500000000002885</c:v>
                </c:pt>
                <c:pt idx="480">
                  <c:v>0.10000000000002895</c:v>
                </c:pt>
                <c:pt idx="481">
                  <c:v>9.5000000000029061E-2</c:v>
                </c:pt>
                <c:pt idx="482">
                  <c:v>9.0000000000029168E-2</c:v>
                </c:pt>
                <c:pt idx="483">
                  <c:v>8.5000000000029274E-2</c:v>
                </c:pt>
                <c:pt idx="484">
                  <c:v>8.0000000000029381E-2</c:v>
                </c:pt>
                <c:pt idx="485">
                  <c:v>7.5000000000029488E-2</c:v>
                </c:pt>
                <c:pt idx="486">
                  <c:v>7.0000000000029594E-2</c:v>
                </c:pt>
                <c:pt idx="487">
                  <c:v>6.5000000000029701E-2</c:v>
                </c:pt>
                <c:pt idx="488">
                  <c:v>6.0000000000029807E-2</c:v>
                </c:pt>
                <c:pt idx="489">
                  <c:v>5.5000000000029914E-2</c:v>
                </c:pt>
                <c:pt idx="490">
                  <c:v>5.000000000003002E-2</c:v>
                </c:pt>
                <c:pt idx="491">
                  <c:v>4.5000000000030127E-2</c:v>
                </c:pt>
                <c:pt idx="492">
                  <c:v>4.0000000000030234E-2</c:v>
                </c:pt>
                <c:pt idx="493">
                  <c:v>3.500000000003034E-2</c:v>
                </c:pt>
                <c:pt idx="494">
                  <c:v>3.0000000000030447E-2</c:v>
                </c:pt>
                <c:pt idx="495">
                  <c:v>2.5000000000030553E-2</c:v>
                </c:pt>
                <c:pt idx="496">
                  <c:v>2.000000000003066E-2</c:v>
                </c:pt>
                <c:pt idx="497">
                  <c:v>1.5000000000030767E-2</c:v>
                </c:pt>
                <c:pt idx="498">
                  <c:v>1.0000000000030873E-2</c:v>
                </c:pt>
                <c:pt idx="499">
                  <c:v>5.0000000000309797E-3</c:v>
                </c:pt>
                <c:pt idx="500">
                  <c:v>3.1086244689504383E-14</c:v>
                </c:pt>
                <c:pt idx="501">
                  <c:v>3.1086244689504383E-14</c:v>
                </c:pt>
                <c:pt idx="502">
                  <c:v>3.1086244689504383E-14</c:v>
                </c:pt>
                <c:pt idx="503">
                  <c:v>3.1086244689504383E-14</c:v>
                </c:pt>
                <c:pt idx="504">
                  <c:v>3.1086244689504383E-14</c:v>
                </c:pt>
                <c:pt idx="505">
                  <c:v>3.1086244689504383E-14</c:v>
                </c:pt>
                <c:pt idx="506">
                  <c:v>3.1086244689504383E-14</c:v>
                </c:pt>
                <c:pt idx="507">
                  <c:v>3.1086244689504383E-14</c:v>
                </c:pt>
                <c:pt idx="508">
                  <c:v>3.1086244689504383E-14</c:v>
                </c:pt>
                <c:pt idx="509">
                  <c:v>3.1086244689504383E-14</c:v>
                </c:pt>
                <c:pt idx="510">
                  <c:v>3.1086244689504383E-14</c:v>
                </c:pt>
                <c:pt idx="511">
                  <c:v>3.1086244689504383E-14</c:v>
                </c:pt>
                <c:pt idx="512">
                  <c:v>3.1086244689504383E-14</c:v>
                </c:pt>
                <c:pt idx="513">
                  <c:v>3.1086244689504383E-14</c:v>
                </c:pt>
                <c:pt idx="514">
                  <c:v>3.1086244689504383E-14</c:v>
                </c:pt>
                <c:pt idx="515">
                  <c:v>3.1086244689504383E-14</c:v>
                </c:pt>
                <c:pt idx="516">
                  <c:v>3.1086244689504383E-14</c:v>
                </c:pt>
                <c:pt idx="517">
                  <c:v>3.1086244689504383E-14</c:v>
                </c:pt>
                <c:pt idx="518">
                  <c:v>3.1086244689504383E-14</c:v>
                </c:pt>
                <c:pt idx="519">
                  <c:v>3.1086244689504383E-14</c:v>
                </c:pt>
                <c:pt idx="520">
                  <c:v>3.1086244689504383E-14</c:v>
                </c:pt>
                <c:pt idx="521">
                  <c:v>3.1086244689504383E-14</c:v>
                </c:pt>
                <c:pt idx="522">
                  <c:v>3.1086244689504383E-14</c:v>
                </c:pt>
                <c:pt idx="523">
                  <c:v>3.1086244689504383E-14</c:v>
                </c:pt>
                <c:pt idx="524">
                  <c:v>3.1086244689504383E-14</c:v>
                </c:pt>
                <c:pt idx="525">
                  <c:v>3.1086244689504383E-14</c:v>
                </c:pt>
                <c:pt idx="526">
                  <c:v>3.1086244689504383E-14</c:v>
                </c:pt>
                <c:pt idx="527">
                  <c:v>3.1086244689504383E-14</c:v>
                </c:pt>
                <c:pt idx="528">
                  <c:v>3.1086244689504383E-14</c:v>
                </c:pt>
                <c:pt idx="529">
                  <c:v>3.1086244689504383E-14</c:v>
                </c:pt>
                <c:pt idx="530">
                  <c:v>3.1086244689504383E-14</c:v>
                </c:pt>
                <c:pt idx="531">
                  <c:v>3.1086244689504383E-14</c:v>
                </c:pt>
                <c:pt idx="532">
                  <c:v>3.1086244689504383E-14</c:v>
                </c:pt>
                <c:pt idx="533">
                  <c:v>3.1086244689504383E-14</c:v>
                </c:pt>
                <c:pt idx="534">
                  <c:v>3.1086244689504383E-14</c:v>
                </c:pt>
                <c:pt idx="535">
                  <c:v>3.1086244689504383E-14</c:v>
                </c:pt>
                <c:pt idx="536">
                  <c:v>3.1086244689504383E-14</c:v>
                </c:pt>
                <c:pt idx="537">
                  <c:v>3.1086244689504383E-14</c:v>
                </c:pt>
                <c:pt idx="538">
                  <c:v>3.1086244689504383E-14</c:v>
                </c:pt>
                <c:pt idx="539">
                  <c:v>3.1086244689504383E-14</c:v>
                </c:pt>
                <c:pt idx="540">
                  <c:v>3.1086244689504383E-14</c:v>
                </c:pt>
                <c:pt idx="541">
                  <c:v>3.1086244689504383E-14</c:v>
                </c:pt>
                <c:pt idx="542">
                  <c:v>3.1086244689504383E-14</c:v>
                </c:pt>
                <c:pt idx="543">
                  <c:v>3.1086244689504383E-14</c:v>
                </c:pt>
                <c:pt idx="544">
                  <c:v>3.1086244689504383E-14</c:v>
                </c:pt>
                <c:pt idx="545">
                  <c:v>3.1086244689504383E-14</c:v>
                </c:pt>
                <c:pt idx="546">
                  <c:v>3.1086244689504383E-14</c:v>
                </c:pt>
                <c:pt idx="547">
                  <c:v>3.1086244689504383E-14</c:v>
                </c:pt>
                <c:pt idx="548">
                  <c:v>3.1086244689504383E-14</c:v>
                </c:pt>
                <c:pt idx="549">
                  <c:v>3.1086244689504383E-14</c:v>
                </c:pt>
                <c:pt idx="550">
                  <c:v>3.1086244689504383E-14</c:v>
                </c:pt>
                <c:pt idx="551">
                  <c:v>3.1086244689504383E-14</c:v>
                </c:pt>
                <c:pt idx="552">
                  <c:v>3.1086244689504383E-14</c:v>
                </c:pt>
                <c:pt idx="553">
                  <c:v>3.1086244689504383E-14</c:v>
                </c:pt>
                <c:pt idx="554">
                  <c:v>3.1086244689504383E-14</c:v>
                </c:pt>
                <c:pt idx="555">
                  <c:v>3.1086244689504383E-14</c:v>
                </c:pt>
                <c:pt idx="556">
                  <c:v>3.1086244689504383E-14</c:v>
                </c:pt>
                <c:pt idx="557">
                  <c:v>3.1086244689504383E-14</c:v>
                </c:pt>
                <c:pt idx="558">
                  <c:v>3.1086244689504383E-14</c:v>
                </c:pt>
                <c:pt idx="559">
                  <c:v>3.1086244689504383E-14</c:v>
                </c:pt>
                <c:pt idx="560">
                  <c:v>3.1086244689504383E-14</c:v>
                </c:pt>
                <c:pt idx="561">
                  <c:v>3.1086244689504383E-14</c:v>
                </c:pt>
                <c:pt idx="562">
                  <c:v>3.1086244689504383E-14</c:v>
                </c:pt>
                <c:pt idx="563">
                  <c:v>3.1086244689504383E-14</c:v>
                </c:pt>
                <c:pt idx="564">
                  <c:v>3.1086244689504383E-14</c:v>
                </c:pt>
                <c:pt idx="565">
                  <c:v>3.1086244689504383E-14</c:v>
                </c:pt>
                <c:pt idx="566">
                  <c:v>3.1086244689504383E-14</c:v>
                </c:pt>
                <c:pt idx="567">
                  <c:v>3.1086244689504383E-14</c:v>
                </c:pt>
                <c:pt idx="568">
                  <c:v>3.1086244689504383E-14</c:v>
                </c:pt>
                <c:pt idx="569">
                  <c:v>3.1086244689504383E-14</c:v>
                </c:pt>
                <c:pt idx="570">
                  <c:v>3.1086244689504383E-14</c:v>
                </c:pt>
                <c:pt idx="571">
                  <c:v>3.1086244689504383E-14</c:v>
                </c:pt>
                <c:pt idx="572">
                  <c:v>3.1086244689504383E-14</c:v>
                </c:pt>
                <c:pt idx="573">
                  <c:v>3.1086244689504383E-14</c:v>
                </c:pt>
                <c:pt idx="574">
                  <c:v>3.1086244689504383E-14</c:v>
                </c:pt>
                <c:pt idx="575">
                  <c:v>3.1086244689504383E-14</c:v>
                </c:pt>
                <c:pt idx="576">
                  <c:v>3.1086244689504383E-14</c:v>
                </c:pt>
                <c:pt idx="577">
                  <c:v>3.1086244689504383E-14</c:v>
                </c:pt>
                <c:pt idx="578">
                  <c:v>3.1086244689504383E-14</c:v>
                </c:pt>
                <c:pt idx="579">
                  <c:v>3.1086244689504383E-14</c:v>
                </c:pt>
                <c:pt idx="580">
                  <c:v>3.1086244689504383E-14</c:v>
                </c:pt>
                <c:pt idx="581">
                  <c:v>3.1086244689504383E-14</c:v>
                </c:pt>
                <c:pt idx="582">
                  <c:v>3.1086244689504383E-14</c:v>
                </c:pt>
                <c:pt idx="583">
                  <c:v>3.1086244689504383E-14</c:v>
                </c:pt>
                <c:pt idx="584">
                  <c:v>3.1086244689504383E-14</c:v>
                </c:pt>
                <c:pt idx="585">
                  <c:v>3.1086244689504383E-14</c:v>
                </c:pt>
                <c:pt idx="586">
                  <c:v>3.1086244689504383E-14</c:v>
                </c:pt>
                <c:pt idx="587">
                  <c:v>3.1086244689504383E-14</c:v>
                </c:pt>
                <c:pt idx="588">
                  <c:v>3.1086244689504383E-14</c:v>
                </c:pt>
                <c:pt idx="589">
                  <c:v>3.1086244689504383E-14</c:v>
                </c:pt>
                <c:pt idx="590">
                  <c:v>3.1086244689504383E-14</c:v>
                </c:pt>
                <c:pt idx="591">
                  <c:v>3.1086244689504383E-14</c:v>
                </c:pt>
                <c:pt idx="592">
                  <c:v>3.1086244689504383E-14</c:v>
                </c:pt>
                <c:pt idx="593">
                  <c:v>3.1086244689504383E-14</c:v>
                </c:pt>
                <c:pt idx="594">
                  <c:v>3.1086244689504383E-14</c:v>
                </c:pt>
                <c:pt idx="595">
                  <c:v>3.1086244689504383E-14</c:v>
                </c:pt>
                <c:pt idx="596">
                  <c:v>3.1086244689504383E-14</c:v>
                </c:pt>
                <c:pt idx="597">
                  <c:v>3.1086244689504383E-14</c:v>
                </c:pt>
                <c:pt idx="598">
                  <c:v>3.1086244689504383E-14</c:v>
                </c:pt>
                <c:pt idx="599">
                  <c:v>3.1086244689504383E-14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BC-41FC-B270-E9EFA6BA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E$15" inc="50" max="200" page="10" val="100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max="30000" page="10" val="0"/>
</file>

<file path=xl/ctrlProps/ctrlProp4.xml><?xml version="1.0" encoding="utf-8"?>
<formControlPr xmlns="http://schemas.microsoft.com/office/spreadsheetml/2009/9/main" objectType="Spin" dx="26" fmlaLink="$E$16" inc="50" max="200" page="10" val="100"/>
</file>

<file path=xl/ctrlProps/ctrlProp5.xml><?xml version="1.0" encoding="utf-8"?>
<formControlPr xmlns="http://schemas.microsoft.com/office/spreadsheetml/2009/9/main" objectType="Spin" dx="26" fmlaLink="$E$17" inc="50" max="200" page="10" val="1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106232</xdr:colOff>
      <xdr:row>7</xdr:row>
      <xdr:rowOff>81131</xdr:rowOff>
    </xdr:from>
    <xdr:to>
      <xdr:col>16</xdr:col>
      <xdr:colOff>26895</xdr:colOff>
      <xdr:row>31</xdr:row>
      <xdr:rowOff>44823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14</xdr:row>
          <xdr:rowOff>7620</xdr:rowOff>
        </xdr:from>
        <xdr:to>
          <xdr:col>4</xdr:col>
          <xdr:colOff>190500</xdr:colOff>
          <xdr:row>14</xdr:row>
          <xdr:rowOff>175260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31</xdr:row>
      <xdr:rowOff>7620</xdr:rowOff>
    </xdr:from>
    <xdr:to>
      <xdr:col>16</xdr:col>
      <xdr:colOff>232</xdr:colOff>
      <xdr:row>45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5920" y="5676900"/>
          <a:ext cx="3299692" cy="2705100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</xdr:row>
      <xdr:rowOff>106680</xdr:rowOff>
    </xdr:from>
    <xdr:to>
      <xdr:col>12</xdr:col>
      <xdr:colOff>304800</xdr:colOff>
      <xdr:row>26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320040</xdr:colOff>
      <xdr:row>5</xdr:row>
      <xdr:rowOff>140970</xdr:rowOff>
    </xdr:from>
    <xdr:to>
      <xdr:col>15</xdr:col>
      <xdr:colOff>15240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320040</xdr:colOff>
      <xdr:row>5</xdr:row>
      <xdr:rowOff>140970</xdr:rowOff>
    </xdr:from>
    <xdr:to>
      <xdr:col>15</xdr:col>
      <xdr:colOff>15240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4</xdr:row>
      <xdr:rowOff>45720</xdr:rowOff>
    </xdr:from>
    <xdr:to>
      <xdr:col>8</xdr:col>
      <xdr:colOff>441960</xdr:colOff>
      <xdr:row>21</xdr:row>
      <xdr:rowOff>0</xdr:rowOff>
    </xdr:to>
    <xdr:graphicFrame macro="">
      <xdr:nvGraphicFramePr>
        <xdr:cNvPr id="2" name="Foo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</xdr:colOff>
      <xdr:row>4</xdr:row>
      <xdr:rowOff>11430</xdr:rowOff>
    </xdr:from>
    <xdr:to>
      <xdr:col>13</xdr:col>
      <xdr:colOff>586740</xdr:colOff>
      <xdr:row>12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15240</xdr:colOff>
      <xdr:row>13</xdr:row>
      <xdr:rowOff>7620</xdr:rowOff>
    </xdr:from>
    <xdr:to>
      <xdr:col>13</xdr:col>
      <xdr:colOff>586740</xdr:colOff>
      <xdr:row>20</xdr:row>
      <xdr:rowOff>179070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236220</xdr:colOff>
      <xdr:row>9</xdr:row>
      <xdr:rowOff>156210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236220</xdr:colOff>
      <xdr:row>9</xdr:row>
      <xdr:rowOff>156210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11</xdr:row>
      <xdr:rowOff>0</xdr:rowOff>
    </xdr:from>
    <xdr:to>
      <xdr:col>3</xdr:col>
      <xdr:colOff>236220</xdr:colOff>
      <xdr:row>20</xdr:row>
      <xdr:rowOff>156210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7</xdr:col>
      <xdr:colOff>236220</xdr:colOff>
      <xdr:row>20</xdr:row>
      <xdr:rowOff>156210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7"/>
  <sheetViews>
    <sheetView zoomScale="85" zoomScaleNormal="85" workbookViewId="0">
      <selection activeCell="R9" sqref="R9"/>
    </sheetView>
  </sheetViews>
  <sheetFormatPr defaultRowHeight="14.4" x14ac:dyDescent="0.3"/>
  <cols>
    <col min="1" max="1" width="12.6640625" bestFit="1" customWidth="1"/>
    <col min="2" max="6" width="11.44140625" style="3" customWidth="1"/>
  </cols>
  <sheetData>
    <row r="1" spans="1:24" x14ac:dyDescent="0.3">
      <c r="A1" s="5"/>
      <c r="B1" s="50" t="s">
        <v>23</v>
      </c>
      <c r="C1" s="51"/>
      <c r="D1" s="4" t="s">
        <v>21</v>
      </c>
      <c r="E1" s="50" t="s">
        <v>26</v>
      </c>
      <c r="F1" s="51"/>
      <c r="I1" s="49" t="s">
        <v>69</v>
      </c>
      <c r="J1" s="49"/>
      <c r="K1" s="49" t="s">
        <v>70</v>
      </c>
      <c r="L1" s="49"/>
      <c r="M1" s="49" t="s">
        <v>71</v>
      </c>
      <c r="N1" s="49"/>
      <c r="O1" s="49" t="s">
        <v>72</v>
      </c>
      <c r="P1" s="49"/>
      <c r="Q1" s="49" t="s">
        <v>73</v>
      </c>
      <c r="R1" s="49"/>
      <c r="S1" s="49" t="s">
        <v>74</v>
      </c>
      <c r="T1" s="49"/>
      <c r="U1" s="49" t="s">
        <v>76</v>
      </c>
      <c r="V1" s="49"/>
      <c r="W1" s="49" t="s">
        <v>77</v>
      </c>
      <c r="X1" s="49"/>
    </row>
    <row r="2" spans="1:24" x14ac:dyDescent="0.3">
      <c r="A2" s="6"/>
      <c r="B2" s="19" t="s">
        <v>2</v>
      </c>
      <c r="C2" s="20" t="s">
        <v>3</v>
      </c>
      <c r="D2" s="21" t="s">
        <v>22</v>
      </c>
      <c r="E2" s="19" t="s">
        <v>55</v>
      </c>
      <c r="F2" s="20" t="s">
        <v>56</v>
      </c>
      <c r="I2" s="1" t="s">
        <v>2</v>
      </c>
      <c r="J2" s="1" t="s">
        <v>3</v>
      </c>
      <c r="K2" s="1" t="s">
        <v>2</v>
      </c>
      <c r="L2" s="1" t="s">
        <v>3</v>
      </c>
      <c r="M2" s="1" t="s">
        <v>2</v>
      </c>
      <c r="N2" s="1" t="s">
        <v>3</v>
      </c>
      <c r="O2" s="1" t="s">
        <v>2</v>
      </c>
      <c r="P2" s="1" t="s">
        <v>3</v>
      </c>
      <c r="Q2" s="1" t="s">
        <v>2</v>
      </c>
      <c r="R2" s="1" t="s">
        <v>3</v>
      </c>
      <c r="S2" s="1" t="s">
        <v>2</v>
      </c>
      <c r="T2" s="1" t="s">
        <v>3</v>
      </c>
      <c r="U2" s="1" t="s">
        <v>2</v>
      </c>
      <c r="V2" s="1" t="s">
        <v>3</v>
      </c>
      <c r="W2" s="1" t="s">
        <v>2</v>
      </c>
      <c r="X2" s="1" t="s">
        <v>3</v>
      </c>
    </row>
    <row r="3" spans="1:24" x14ac:dyDescent="0.3">
      <c r="A3" s="7" t="s">
        <v>10</v>
      </c>
      <c r="B3" s="10">
        <f>B10*SQRT(3)/2</f>
        <v>2.598076211353316</v>
      </c>
      <c r="C3" s="11">
        <f>B10*1/2</f>
        <v>1.5</v>
      </c>
      <c r="D3" s="16">
        <f>2*ASIN('Foot Vectors'!$D$17/(2*SQRT(('Foot Vectors'!B3^2)+'Foot Vectors'!C3^2)))</f>
        <v>0</v>
      </c>
      <c r="E3" s="10">
        <f>'Foot Vectors'!$D$15+('Foot Vectors'!B3*COS('Foot Vectors'!D3)-'Foot Vectors'!C3*SIN('Foot Vectors'!$D$3))</f>
        <v>2.598076211353316</v>
      </c>
      <c r="F3" s="11">
        <f>'Foot Vectors'!$D$16+('Foot Vectors'!B3*SIN('Foot Vectors'!D3)+'Foot Vectors'!C3*COS('Foot Vectors'!$D$3))</f>
        <v>1.5</v>
      </c>
      <c r="H3" s="1" t="s">
        <v>48</v>
      </c>
      <c r="I3" s="43">
        <f>B3</f>
        <v>2.598076211353316</v>
      </c>
      <c r="J3" s="43">
        <f>C3</f>
        <v>1.5</v>
      </c>
      <c r="K3" s="43">
        <f>B4</f>
        <v>0</v>
      </c>
      <c r="L3" s="43">
        <f>C4</f>
        <v>3</v>
      </c>
      <c r="M3" s="43">
        <f>B5</f>
        <v>-2.598076211353316</v>
      </c>
      <c r="N3" s="43">
        <f>C5</f>
        <v>1.5</v>
      </c>
      <c r="O3" s="43">
        <f>B6</f>
        <v>-2.598076211353316</v>
      </c>
      <c r="P3" s="43">
        <f>C6</f>
        <v>-1.5</v>
      </c>
      <c r="Q3" s="43">
        <f>B7</f>
        <v>0</v>
      </c>
      <c r="R3" s="43">
        <f>C7</f>
        <v>-3</v>
      </c>
      <c r="S3" s="43">
        <f>B8</f>
        <v>2.598076211353316</v>
      </c>
      <c r="T3" s="43">
        <f>C8</f>
        <v>-1.5</v>
      </c>
      <c r="U3">
        <v>0</v>
      </c>
      <c r="V3">
        <v>0</v>
      </c>
      <c r="W3">
        <v>0</v>
      </c>
      <c r="X3">
        <v>0</v>
      </c>
    </row>
    <row r="4" spans="1:24" x14ac:dyDescent="0.3">
      <c r="A4" s="8" t="s">
        <v>11</v>
      </c>
      <c r="B4" s="12">
        <v>0</v>
      </c>
      <c r="C4" s="13">
        <f>B10</f>
        <v>3</v>
      </c>
      <c r="D4" s="17">
        <f>2*ASIN('Foot Vectors'!$D$17/(2*SQRT(('Foot Vectors'!B4^2)+'Foot Vectors'!C4^2)))</f>
        <v>0</v>
      </c>
      <c r="E4" s="12">
        <f>'Foot Vectors'!$D$15+('Foot Vectors'!B4*COS('Foot Vectors'!D4)-'Foot Vectors'!C4*SIN('Foot Vectors'!$D$3))</f>
        <v>0</v>
      </c>
      <c r="F4" s="13">
        <f>'Foot Vectors'!$D$16+('Foot Vectors'!B4*SIN('Foot Vectors'!D4)+'Foot Vectors'!C4*COS('Foot Vectors'!$D$3))</f>
        <v>3</v>
      </c>
      <c r="H4" s="1" t="s">
        <v>75</v>
      </c>
      <c r="I4" s="43">
        <f>E3</f>
        <v>2.598076211353316</v>
      </c>
      <c r="J4" s="43">
        <f>F3</f>
        <v>1.5</v>
      </c>
      <c r="K4" s="43">
        <f>E4</f>
        <v>0</v>
      </c>
      <c r="L4" s="43">
        <f>F4</f>
        <v>3</v>
      </c>
      <c r="M4" s="43">
        <f>E5</f>
        <v>-2.598076211353316</v>
      </c>
      <c r="N4" s="43">
        <f>F5</f>
        <v>1.5</v>
      </c>
      <c r="O4" s="43">
        <f>E6</f>
        <v>-2.598076211353316</v>
      </c>
      <c r="P4" s="43">
        <f>F6</f>
        <v>-1.5</v>
      </c>
      <c r="Q4" s="43">
        <f>E7</f>
        <v>0</v>
      </c>
      <c r="R4" s="43">
        <f>F7</f>
        <v>-3</v>
      </c>
      <c r="S4" s="43">
        <f>E8</f>
        <v>2.598076211353316</v>
      </c>
      <c r="T4" s="43">
        <f>F8</f>
        <v>-1.5</v>
      </c>
      <c r="U4">
        <f>D15</f>
        <v>0</v>
      </c>
      <c r="V4">
        <f>D16</f>
        <v>0</v>
      </c>
      <c r="W4">
        <f>-D17</f>
        <v>0</v>
      </c>
      <c r="X4">
        <v>0</v>
      </c>
    </row>
    <row r="5" spans="1:24" x14ac:dyDescent="0.3">
      <c r="A5" s="7" t="s">
        <v>12</v>
      </c>
      <c r="B5" s="10">
        <f>-B10*SQRT(3)/2</f>
        <v>-2.598076211353316</v>
      </c>
      <c r="C5" s="11">
        <f>B10*1/2</f>
        <v>1.5</v>
      </c>
      <c r="D5" s="16">
        <f>2*ASIN('Foot Vectors'!$D$17/(2*SQRT(('Foot Vectors'!B5^2)+'Foot Vectors'!C5^2)))</f>
        <v>0</v>
      </c>
      <c r="E5" s="10">
        <f>'Foot Vectors'!$D$15+('Foot Vectors'!B5*COS('Foot Vectors'!D5)-'Foot Vectors'!C5*SIN('Foot Vectors'!$D$3))</f>
        <v>-2.598076211353316</v>
      </c>
      <c r="F5" s="11">
        <f>'Foot Vectors'!$D$16+('Foot Vectors'!B5*SIN('Foot Vectors'!D5)+'Foot Vectors'!C5*COS('Foot Vectors'!$D$3))</f>
        <v>1.5</v>
      </c>
    </row>
    <row r="6" spans="1:24" x14ac:dyDescent="0.3">
      <c r="A6" s="8" t="s">
        <v>13</v>
      </c>
      <c r="B6" s="12">
        <f>-B10*SQRT(3)/2</f>
        <v>-2.598076211353316</v>
      </c>
      <c r="C6" s="13">
        <f>-B10*1/2</f>
        <v>-1.5</v>
      </c>
      <c r="D6" s="17">
        <f>2*ASIN('Foot Vectors'!$D$17/(2*SQRT(('Foot Vectors'!B6^2)+'Foot Vectors'!C6^2)))</f>
        <v>0</v>
      </c>
      <c r="E6" s="12">
        <f>'Foot Vectors'!$D$15+('Foot Vectors'!B6*COS('Foot Vectors'!D6)-'Foot Vectors'!C6*SIN('Foot Vectors'!$D$3))</f>
        <v>-2.598076211353316</v>
      </c>
      <c r="F6" s="13">
        <f>'Foot Vectors'!$D$16+('Foot Vectors'!B6*SIN('Foot Vectors'!D6)+'Foot Vectors'!C6*COS('Foot Vectors'!$D$3))</f>
        <v>-1.5</v>
      </c>
    </row>
    <row r="7" spans="1:24" x14ac:dyDescent="0.3">
      <c r="A7" s="7" t="s">
        <v>14</v>
      </c>
      <c r="B7" s="10">
        <v>0</v>
      </c>
      <c r="C7" s="11">
        <f>-B10</f>
        <v>-3</v>
      </c>
      <c r="D7" s="16">
        <f>2*ASIN('Foot Vectors'!$D$17/(2*SQRT(('Foot Vectors'!B7^2)+'Foot Vectors'!C7^2)))</f>
        <v>0</v>
      </c>
      <c r="E7" s="10">
        <f>'Foot Vectors'!$D$15+('Foot Vectors'!B7*COS('Foot Vectors'!D7)-'Foot Vectors'!C7*SIN('Foot Vectors'!$D$3))</f>
        <v>0</v>
      </c>
      <c r="F7" s="11">
        <f>'Foot Vectors'!$D$16+('Foot Vectors'!B7*SIN('Foot Vectors'!D7)+'Foot Vectors'!C7*COS('Foot Vectors'!$D$3))</f>
        <v>-3</v>
      </c>
    </row>
    <row r="8" spans="1:24" x14ac:dyDescent="0.3">
      <c r="A8" s="9" t="s">
        <v>15</v>
      </c>
      <c r="B8" s="23">
        <f>B10*SQRT(3)/2</f>
        <v>2.598076211353316</v>
      </c>
      <c r="C8" s="15">
        <f>-B10*1/2</f>
        <v>-1.5</v>
      </c>
      <c r="D8" s="18">
        <f>2*ASIN('Foot Vectors'!$D$17/(2*SQRT(('Foot Vectors'!B8^2)+'Foot Vectors'!C8^2)))</f>
        <v>0</v>
      </c>
      <c r="E8" s="14">
        <f>'Foot Vectors'!$D$15+('Foot Vectors'!B8*COS('Foot Vectors'!D8)-'Foot Vectors'!C8*SIN('Foot Vectors'!$D$3))</f>
        <v>2.598076211353316</v>
      </c>
      <c r="F8" s="15">
        <f>'Foot Vectors'!$D$16+('Foot Vectors'!B8*SIN('Foot Vectors'!D8)+'Foot Vectors'!C8*COS('Foot Vectors'!$D$3))</f>
        <v>-1.5</v>
      </c>
    </row>
    <row r="10" spans="1:24" x14ac:dyDescent="0.3">
      <c r="A10" s="22" t="s">
        <v>24</v>
      </c>
      <c r="B10" s="3">
        <v>3</v>
      </c>
      <c r="D10"/>
      <c r="E10"/>
      <c r="F10"/>
    </row>
    <row r="11" spans="1:24" x14ac:dyDescent="0.3">
      <c r="A11" t="s">
        <v>25</v>
      </c>
      <c r="B11" s="3">
        <v>2</v>
      </c>
    </row>
    <row r="13" spans="1:24" x14ac:dyDescent="0.3">
      <c r="A13" s="53" t="s">
        <v>31</v>
      </c>
      <c r="B13" s="53"/>
      <c r="C13" s="53"/>
      <c r="D13" s="53"/>
    </row>
    <row r="14" spans="1:24" x14ac:dyDescent="0.3">
      <c r="A14" s="24"/>
      <c r="B14" s="25" t="s">
        <v>30</v>
      </c>
      <c r="C14" s="24" t="s">
        <v>29</v>
      </c>
      <c r="D14" s="25" t="s">
        <v>28</v>
      </c>
      <c r="E14" s="29"/>
    </row>
    <row r="15" spans="1:24" x14ac:dyDescent="0.3">
      <c r="A15" s="52" t="s">
        <v>16</v>
      </c>
      <c r="B15" s="26" t="s">
        <v>18</v>
      </c>
      <c r="C15" s="27" t="s">
        <v>27</v>
      </c>
      <c r="D15" s="26">
        <f>E15/100-1</f>
        <v>0</v>
      </c>
      <c r="E15" s="28">
        <v>100</v>
      </c>
    </row>
    <row r="16" spans="1:24" x14ac:dyDescent="0.3">
      <c r="A16" s="52"/>
      <c r="B16" s="26" t="s">
        <v>19</v>
      </c>
      <c r="C16" s="27" t="s">
        <v>27</v>
      </c>
      <c r="D16" s="26">
        <f t="shared" ref="D16:D17" si="0">E16/100-1</f>
        <v>0</v>
      </c>
      <c r="E16" s="28">
        <v>100</v>
      </c>
    </row>
    <row r="17" spans="1:5" x14ac:dyDescent="0.3">
      <c r="A17" s="24" t="s">
        <v>17</v>
      </c>
      <c r="B17" s="26" t="s">
        <v>20</v>
      </c>
      <c r="C17" s="27" t="s">
        <v>27</v>
      </c>
      <c r="D17" s="26">
        <f t="shared" si="0"/>
        <v>0</v>
      </c>
      <c r="E17" s="28">
        <v>100</v>
      </c>
    </row>
  </sheetData>
  <mergeCells count="12">
    <mergeCell ref="U1:V1"/>
    <mergeCell ref="W1:X1"/>
    <mergeCell ref="E1:F1"/>
    <mergeCell ref="B1:C1"/>
    <mergeCell ref="A15:A16"/>
    <mergeCell ref="A13:D13"/>
    <mergeCell ref="S1:T1"/>
    <mergeCell ref="Q1:R1"/>
    <mergeCell ref="O1:P1"/>
    <mergeCell ref="M1:N1"/>
    <mergeCell ref="K1:L1"/>
    <mergeCell ref="I1:J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Spinner 6">
              <controlPr defaultSize="0" autoPict="0">
                <anchor moveWithCells="1" sizeWithCells="1">
                  <from>
                    <xdr:col>4</xdr:col>
                    <xdr:colOff>7620</xdr:colOff>
                    <xdr:row>14</xdr:row>
                    <xdr:rowOff>7620</xdr:rowOff>
                  </from>
                  <to>
                    <xdr:col>4</xdr:col>
                    <xdr:colOff>190500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pinner 7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Spinner 8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Spinner 9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Spinner 10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52"/>
  <sheetViews>
    <sheetView zoomScaleNormal="100" workbookViewId="0">
      <selection activeCell="AH6" sqref="AH6"/>
    </sheetView>
  </sheetViews>
  <sheetFormatPr defaultRowHeight="14.4" x14ac:dyDescent="0.3"/>
  <cols>
    <col min="1" max="1" width="6.109375" customWidth="1"/>
    <col min="2" max="22" width="2.77734375" customWidth="1"/>
    <col min="23" max="23" width="5.6640625" style="44" customWidth="1"/>
    <col min="24" max="24" width="5.5546875" style="44" customWidth="1"/>
    <col min="25" max="25" width="11.5546875" style="44" customWidth="1"/>
    <col min="26" max="26" width="2.77734375" style="44" customWidth="1"/>
  </cols>
  <sheetData>
    <row r="1" spans="1:30" x14ac:dyDescent="0.3">
      <c r="W1" s="44" t="s">
        <v>85</v>
      </c>
      <c r="X1" s="44">
        <v>6</v>
      </c>
      <c r="Y1" s="45" t="s">
        <v>88</v>
      </c>
    </row>
    <row r="2" spans="1:30" x14ac:dyDescent="0.3">
      <c r="C2" s="2" t="s">
        <v>9</v>
      </c>
      <c r="D2" s="30"/>
      <c r="E2" s="30"/>
      <c r="F2" t="s">
        <v>43</v>
      </c>
      <c r="W2" s="44" t="s">
        <v>86</v>
      </c>
      <c r="X2" s="44">
        <v>1</v>
      </c>
      <c r="Y2" s="45">
        <v>1</v>
      </c>
    </row>
    <row r="3" spans="1:30" x14ac:dyDescent="0.3">
      <c r="C3" s="2" t="s">
        <v>39</v>
      </c>
      <c r="D3" s="30"/>
      <c r="E3" s="30"/>
      <c r="F3" t="s">
        <v>42</v>
      </c>
      <c r="W3" s="44" t="s">
        <v>54</v>
      </c>
      <c r="X3" s="44">
        <v>2</v>
      </c>
      <c r="Y3" s="45">
        <v>3</v>
      </c>
    </row>
    <row r="4" spans="1:30" x14ac:dyDescent="0.3">
      <c r="C4" s="2" t="s">
        <v>40</v>
      </c>
      <c r="D4" s="30"/>
      <c r="E4" s="30"/>
      <c r="F4" t="s">
        <v>41</v>
      </c>
      <c r="W4" s="44" t="s">
        <v>87</v>
      </c>
      <c r="X4" s="44">
        <v>3</v>
      </c>
      <c r="Y4" s="45">
        <v>5</v>
      </c>
    </row>
    <row r="5" spans="1:30" x14ac:dyDescent="0.3">
      <c r="W5" s="44" t="s">
        <v>52</v>
      </c>
      <c r="X5" s="44">
        <v>4</v>
      </c>
      <c r="Y5" s="45">
        <v>6</v>
      </c>
    </row>
    <row r="6" spans="1:30" x14ac:dyDescent="0.3">
      <c r="E6" s="31"/>
      <c r="F6" t="s">
        <v>50</v>
      </c>
      <c r="W6" s="45"/>
      <c r="X6" s="45"/>
      <c r="Y6" s="45">
        <v>8</v>
      </c>
    </row>
    <row r="7" spans="1:30" x14ac:dyDescent="0.3">
      <c r="E7" s="34"/>
      <c r="F7" t="s">
        <v>49</v>
      </c>
      <c r="W7" s="45"/>
      <c r="X7" s="45"/>
      <c r="Y7" s="45">
        <v>10</v>
      </c>
    </row>
    <row r="9" spans="1:30" x14ac:dyDescent="0.3">
      <c r="A9" s="53" t="s">
        <v>32</v>
      </c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30" x14ac:dyDescent="0.3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44" t="s">
        <v>85</v>
      </c>
      <c r="X10" s="44">
        <v>8</v>
      </c>
      <c r="Y10" s="45" t="s">
        <v>88</v>
      </c>
      <c r="AA10" t="s">
        <v>89</v>
      </c>
      <c r="AB10" s="44" t="s">
        <v>90</v>
      </c>
      <c r="AC10" s="44" t="s">
        <v>99</v>
      </c>
      <c r="AD10" s="44" t="s">
        <v>91</v>
      </c>
    </row>
    <row r="11" spans="1:30" x14ac:dyDescent="0.3">
      <c r="A11" t="s">
        <v>33</v>
      </c>
      <c r="B11" s="35"/>
      <c r="C11" s="35" t="s">
        <v>51</v>
      </c>
      <c r="D11" s="35"/>
      <c r="E11" s="35" t="s">
        <v>52</v>
      </c>
      <c r="F11" s="36"/>
      <c r="G11" s="36" t="s">
        <v>53</v>
      </c>
      <c r="H11" s="36"/>
      <c r="I11" s="36" t="s">
        <v>54</v>
      </c>
      <c r="R11" s="36"/>
      <c r="S11" s="36"/>
      <c r="T11" s="36"/>
      <c r="U11" s="36"/>
      <c r="V11" s="36"/>
      <c r="W11" s="44" t="s">
        <v>86</v>
      </c>
      <c r="X11" s="44">
        <v>2</v>
      </c>
      <c r="Y11" s="44">
        <v>6</v>
      </c>
      <c r="AA11">
        <f>Y11</f>
        <v>6</v>
      </c>
      <c r="AB11">
        <f>IF((AA11+$X$12)&gt;$X$10,AA11+$X$12-$X$10,AA11+$X$12)</f>
        <v>8</v>
      </c>
      <c r="AC11">
        <f>IF((AB11+$X$13)&gt;$X$10,AB11+$X$13-$X$10,AB11+$X$13)</f>
        <v>2</v>
      </c>
      <c r="AD11">
        <f>IF((AC11+$X$14)&gt;$X$10,AC11+$X$14-$X$10,AC11+$X$14)</f>
        <v>4</v>
      </c>
    </row>
    <row r="12" spans="1:30" x14ac:dyDescent="0.3">
      <c r="A12" t="s">
        <v>34</v>
      </c>
      <c r="B12" s="36"/>
      <c r="C12" s="36" t="s">
        <v>53</v>
      </c>
      <c r="D12" s="36"/>
      <c r="E12" s="36" t="s">
        <v>54</v>
      </c>
      <c r="F12" s="35"/>
      <c r="G12" s="35" t="s">
        <v>51</v>
      </c>
      <c r="H12" s="35"/>
      <c r="I12" s="35" t="s">
        <v>52</v>
      </c>
      <c r="R12" s="36"/>
      <c r="S12" s="36"/>
      <c r="T12" s="36"/>
      <c r="U12" s="36"/>
      <c r="V12" s="36"/>
      <c r="W12" s="44" t="s">
        <v>54</v>
      </c>
      <c r="X12" s="44">
        <v>2</v>
      </c>
      <c r="Y12" s="44">
        <v>2</v>
      </c>
      <c r="AA12">
        <f t="shared" ref="AA12:AA16" si="0">Y12</f>
        <v>2</v>
      </c>
      <c r="AB12">
        <f t="shared" ref="AB12:AB16" si="1">IF((AA12+$X$12)&gt;$X$10,AA12+$X$12-$X$10,AA12+$X$12)</f>
        <v>4</v>
      </c>
      <c r="AC12">
        <f t="shared" ref="AC12:AC16" si="2">IF((AB12+$X$13)&gt;$X$10,AB12+$X$13-$X$10,AB12+$X$13)</f>
        <v>6</v>
      </c>
      <c r="AD12">
        <f t="shared" ref="AD12:AD16" si="3">IF((AC12+$X$14)&gt;$X$10,AC12+$X$14-$X$10,AC12+$X$14)</f>
        <v>8</v>
      </c>
    </row>
    <row r="13" spans="1:30" x14ac:dyDescent="0.3">
      <c r="A13" t="s">
        <v>35</v>
      </c>
      <c r="B13" s="35"/>
      <c r="C13" s="35" t="s">
        <v>51</v>
      </c>
      <c r="D13" s="35"/>
      <c r="E13" s="35" t="s">
        <v>52</v>
      </c>
      <c r="F13" s="36"/>
      <c r="G13" s="36" t="s">
        <v>53</v>
      </c>
      <c r="H13" s="36"/>
      <c r="I13" s="36" t="s">
        <v>54</v>
      </c>
      <c r="R13" s="36"/>
      <c r="S13" s="36"/>
      <c r="T13" s="36"/>
      <c r="U13" s="36"/>
      <c r="V13" s="36"/>
      <c r="W13" s="44" t="s">
        <v>87</v>
      </c>
      <c r="X13" s="44">
        <v>2</v>
      </c>
      <c r="Y13" s="44">
        <v>6</v>
      </c>
      <c r="AA13">
        <f t="shared" si="0"/>
        <v>6</v>
      </c>
      <c r="AB13">
        <f t="shared" si="1"/>
        <v>8</v>
      </c>
      <c r="AC13">
        <f t="shared" si="2"/>
        <v>2</v>
      </c>
      <c r="AD13">
        <f t="shared" si="3"/>
        <v>4</v>
      </c>
    </row>
    <row r="14" spans="1:30" x14ac:dyDescent="0.3">
      <c r="A14" t="s">
        <v>36</v>
      </c>
      <c r="B14" s="36"/>
      <c r="C14" s="36" t="s">
        <v>53</v>
      </c>
      <c r="D14" s="36"/>
      <c r="E14" s="36" t="s">
        <v>54</v>
      </c>
      <c r="F14" s="35"/>
      <c r="G14" s="35" t="s">
        <v>51</v>
      </c>
      <c r="H14" s="35"/>
      <c r="I14" s="35" t="s">
        <v>52</v>
      </c>
      <c r="R14" s="36"/>
      <c r="S14" s="36"/>
      <c r="T14" s="36"/>
      <c r="U14" s="36"/>
      <c r="V14" s="36"/>
      <c r="W14" s="44" t="s">
        <v>52</v>
      </c>
      <c r="X14" s="44">
        <v>2</v>
      </c>
      <c r="Y14" s="44">
        <v>2</v>
      </c>
      <c r="AA14">
        <f t="shared" si="0"/>
        <v>2</v>
      </c>
      <c r="AB14">
        <f t="shared" si="1"/>
        <v>4</v>
      </c>
      <c r="AC14">
        <f t="shared" si="2"/>
        <v>6</v>
      </c>
      <c r="AD14">
        <f t="shared" si="3"/>
        <v>8</v>
      </c>
    </row>
    <row r="15" spans="1:30" x14ac:dyDescent="0.3">
      <c r="A15" t="s">
        <v>37</v>
      </c>
      <c r="B15" s="35"/>
      <c r="C15" s="35" t="s">
        <v>51</v>
      </c>
      <c r="D15" s="35"/>
      <c r="E15" s="35" t="s">
        <v>52</v>
      </c>
      <c r="F15" s="36"/>
      <c r="G15" s="36" t="s">
        <v>53</v>
      </c>
      <c r="H15" s="36"/>
      <c r="I15" s="36" t="s">
        <v>54</v>
      </c>
      <c r="R15" s="36"/>
      <c r="S15" s="36"/>
      <c r="T15" s="36"/>
      <c r="U15" s="36"/>
      <c r="V15" s="36"/>
      <c r="Y15" s="44">
        <v>6</v>
      </c>
      <c r="AA15">
        <f t="shared" si="0"/>
        <v>6</v>
      </c>
      <c r="AB15">
        <f t="shared" si="1"/>
        <v>8</v>
      </c>
      <c r="AC15">
        <f t="shared" si="2"/>
        <v>2</v>
      </c>
      <c r="AD15">
        <f t="shared" si="3"/>
        <v>4</v>
      </c>
    </row>
    <row r="16" spans="1:30" x14ac:dyDescent="0.3">
      <c r="A16" t="s">
        <v>38</v>
      </c>
      <c r="B16" s="36"/>
      <c r="C16" s="36" t="s">
        <v>53</v>
      </c>
      <c r="D16" s="36"/>
      <c r="E16" s="36" t="s">
        <v>54</v>
      </c>
      <c r="F16" s="35"/>
      <c r="G16" s="35" t="s">
        <v>51</v>
      </c>
      <c r="H16" s="35"/>
      <c r="I16" s="35" t="s">
        <v>52</v>
      </c>
      <c r="R16" s="36"/>
      <c r="S16" s="36"/>
      <c r="T16" s="36"/>
      <c r="U16" s="36"/>
      <c r="V16" s="36"/>
      <c r="Y16" s="44">
        <v>2</v>
      </c>
      <c r="AA16">
        <f t="shared" si="0"/>
        <v>2</v>
      </c>
      <c r="AB16">
        <f t="shared" si="1"/>
        <v>4</v>
      </c>
      <c r="AC16">
        <f t="shared" si="2"/>
        <v>6</v>
      </c>
      <c r="AD16">
        <f t="shared" si="3"/>
        <v>8</v>
      </c>
    </row>
    <row r="17" spans="1:29" x14ac:dyDescent="0.3">
      <c r="C17" s="32"/>
      <c r="D17" s="32"/>
      <c r="E17" s="32"/>
      <c r="F17" s="32"/>
      <c r="G17" s="32"/>
      <c r="H17" s="32"/>
    </row>
    <row r="18" spans="1:29" x14ac:dyDescent="0.3">
      <c r="A18" s="53" t="s">
        <v>44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9" x14ac:dyDescent="0.3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44" t="s">
        <v>85</v>
      </c>
      <c r="X19" s="44">
        <v>6</v>
      </c>
      <c r="Y19" s="45" t="s">
        <v>88</v>
      </c>
      <c r="AA19" t="s">
        <v>89</v>
      </c>
      <c r="AB19" s="44" t="s">
        <v>90</v>
      </c>
      <c r="AC19" s="44" t="s">
        <v>91</v>
      </c>
    </row>
    <row r="20" spans="1:29" x14ac:dyDescent="0.3">
      <c r="A20" t="s">
        <v>33</v>
      </c>
      <c r="B20" s="37"/>
      <c r="C20" s="37" t="s">
        <v>53</v>
      </c>
      <c r="D20" s="37"/>
      <c r="E20" s="37" t="s">
        <v>54</v>
      </c>
      <c r="F20" s="35" t="s">
        <v>51</v>
      </c>
      <c r="G20" s="35" t="s">
        <v>52</v>
      </c>
      <c r="T20" s="36"/>
      <c r="U20" s="36"/>
      <c r="V20" s="36"/>
      <c r="W20" s="44" t="s">
        <v>86</v>
      </c>
      <c r="X20" s="44">
        <v>2</v>
      </c>
      <c r="Y20" s="44">
        <v>2</v>
      </c>
      <c r="AA20">
        <f>Y20</f>
        <v>2</v>
      </c>
      <c r="AB20">
        <f>IF((AA20+$X$21)&gt;$X$19,AA20+$X$21-$X$19,AA20+$X$21)</f>
        <v>4</v>
      </c>
      <c r="AC20">
        <f>IF((AB20+SUM($X$22:$X$23))&gt;$X$19,AB20+SUM($X$22:$X$23)-$X$19,AB20+SUM($X$22:$X$23))</f>
        <v>6</v>
      </c>
    </row>
    <row r="21" spans="1:29" x14ac:dyDescent="0.3">
      <c r="A21" t="s">
        <v>34</v>
      </c>
      <c r="B21" s="36" t="s">
        <v>54</v>
      </c>
      <c r="C21" s="35" t="s">
        <v>51</v>
      </c>
      <c r="D21" s="35" t="s">
        <v>52</v>
      </c>
      <c r="E21" s="37"/>
      <c r="F21" s="37" t="s">
        <v>53</v>
      </c>
      <c r="G21" s="37"/>
      <c r="T21" s="36"/>
      <c r="U21" s="36"/>
      <c r="V21" s="36"/>
      <c r="W21" s="44" t="s">
        <v>54</v>
      </c>
      <c r="X21" s="44">
        <v>2</v>
      </c>
      <c r="Y21" s="44">
        <v>5</v>
      </c>
      <c r="AA21">
        <f t="shared" ref="AA21:AA25" si="4">Y21</f>
        <v>5</v>
      </c>
      <c r="AB21">
        <f t="shared" ref="AB21:AB25" si="5">IF((AA21+$X$21)&gt;$X$19,AA21+$X$21-$X$19,AA21+$X$21)</f>
        <v>1</v>
      </c>
      <c r="AC21">
        <f t="shared" ref="AC21:AC25" si="6">IF((AB21+SUM($X$22:$X$23))&gt;$X$19,AB21+SUM($X$22:$X$23)-$X$19,AB21+SUM($X$22:$X$23))</f>
        <v>3</v>
      </c>
    </row>
    <row r="22" spans="1:29" x14ac:dyDescent="0.3">
      <c r="A22" t="s">
        <v>35</v>
      </c>
      <c r="B22" s="37"/>
      <c r="C22" s="37" t="s">
        <v>53</v>
      </c>
      <c r="D22" s="37"/>
      <c r="E22" s="37" t="s">
        <v>54</v>
      </c>
      <c r="F22" s="35" t="s">
        <v>51</v>
      </c>
      <c r="G22" s="35" t="s">
        <v>52</v>
      </c>
      <c r="P22" s="37"/>
      <c r="Q22" s="37"/>
      <c r="R22" s="37"/>
      <c r="S22" s="37"/>
      <c r="T22" s="37"/>
      <c r="U22" s="37"/>
      <c r="V22" s="36"/>
      <c r="W22" s="44" t="s">
        <v>87</v>
      </c>
      <c r="X22" s="44">
        <v>1</v>
      </c>
      <c r="Y22" s="44">
        <v>2</v>
      </c>
      <c r="AA22">
        <f t="shared" si="4"/>
        <v>2</v>
      </c>
      <c r="AB22">
        <f t="shared" si="5"/>
        <v>4</v>
      </c>
      <c r="AC22">
        <f t="shared" si="6"/>
        <v>6</v>
      </c>
    </row>
    <row r="23" spans="1:29" x14ac:dyDescent="0.3">
      <c r="A23" t="s">
        <v>36</v>
      </c>
      <c r="B23" s="36" t="s">
        <v>54</v>
      </c>
      <c r="C23" s="35" t="s">
        <v>51</v>
      </c>
      <c r="D23" s="35" t="s">
        <v>52</v>
      </c>
      <c r="E23" s="37"/>
      <c r="F23" s="37" t="s">
        <v>53</v>
      </c>
      <c r="G23" s="37"/>
      <c r="P23" s="37"/>
      <c r="Q23" s="37"/>
      <c r="R23" s="37"/>
      <c r="S23" s="37"/>
      <c r="T23" s="37"/>
      <c r="U23" s="37"/>
      <c r="V23" s="36"/>
      <c r="W23" s="44" t="s">
        <v>52</v>
      </c>
      <c r="X23" s="44">
        <v>1</v>
      </c>
      <c r="Y23" s="44">
        <v>5</v>
      </c>
      <c r="AA23">
        <f t="shared" si="4"/>
        <v>5</v>
      </c>
      <c r="AB23">
        <f t="shared" si="5"/>
        <v>1</v>
      </c>
      <c r="AC23">
        <f t="shared" si="6"/>
        <v>3</v>
      </c>
    </row>
    <row r="24" spans="1:29" x14ac:dyDescent="0.3">
      <c r="A24" t="s">
        <v>37</v>
      </c>
      <c r="B24" s="37"/>
      <c r="C24" s="37" t="s">
        <v>53</v>
      </c>
      <c r="D24" s="37"/>
      <c r="E24" s="37" t="s">
        <v>54</v>
      </c>
      <c r="F24" s="35" t="s">
        <v>51</v>
      </c>
      <c r="G24" s="35" t="s">
        <v>52</v>
      </c>
      <c r="P24" s="37"/>
      <c r="Q24" s="37"/>
      <c r="R24" s="37"/>
      <c r="S24" s="37"/>
      <c r="T24" s="37"/>
      <c r="U24" s="37"/>
      <c r="V24" s="36"/>
      <c r="Y24" s="44">
        <v>2</v>
      </c>
      <c r="AA24">
        <f t="shared" si="4"/>
        <v>2</v>
      </c>
      <c r="AB24">
        <f t="shared" si="5"/>
        <v>4</v>
      </c>
      <c r="AC24">
        <f t="shared" si="6"/>
        <v>6</v>
      </c>
    </row>
    <row r="25" spans="1:29" x14ac:dyDescent="0.3">
      <c r="A25" t="s">
        <v>38</v>
      </c>
      <c r="B25" s="36" t="s">
        <v>54</v>
      </c>
      <c r="C25" s="35" t="s">
        <v>51</v>
      </c>
      <c r="D25" s="35" t="s">
        <v>52</v>
      </c>
      <c r="E25" s="37"/>
      <c r="F25" s="37" t="s">
        <v>53</v>
      </c>
      <c r="G25" s="37"/>
      <c r="P25" s="37"/>
      <c r="Q25" s="37"/>
      <c r="R25" s="37"/>
      <c r="S25" s="37"/>
      <c r="T25" s="37"/>
      <c r="U25" s="37"/>
      <c r="V25" s="36"/>
      <c r="Y25" s="44">
        <v>5</v>
      </c>
      <c r="AA25">
        <f t="shared" si="4"/>
        <v>5</v>
      </c>
      <c r="AB25">
        <f t="shared" si="5"/>
        <v>1</v>
      </c>
      <c r="AC25">
        <f t="shared" si="6"/>
        <v>3</v>
      </c>
    </row>
    <row r="27" spans="1:29" x14ac:dyDescent="0.3">
      <c r="A27" s="53" t="s">
        <v>45</v>
      </c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9" x14ac:dyDescent="0.3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44" t="s">
        <v>85</v>
      </c>
      <c r="X28" s="44">
        <v>12</v>
      </c>
      <c r="Y28" s="45" t="s">
        <v>88</v>
      </c>
    </row>
    <row r="29" spans="1:29" x14ac:dyDescent="0.3">
      <c r="A29" t="s">
        <v>33</v>
      </c>
      <c r="B29" s="35"/>
      <c r="C29" s="35" t="s">
        <v>51</v>
      </c>
      <c r="D29" s="35"/>
      <c r="E29" s="35" t="s">
        <v>52</v>
      </c>
      <c r="F29" s="36"/>
      <c r="G29" s="36"/>
      <c r="H29" s="36"/>
      <c r="I29" s="36" t="s">
        <v>53</v>
      </c>
      <c r="J29" s="36"/>
      <c r="K29" s="36"/>
      <c r="L29" s="36"/>
      <c r="M29" s="36" t="s">
        <v>54</v>
      </c>
      <c r="W29" s="44" t="s">
        <v>86</v>
      </c>
      <c r="X29" s="44">
        <v>4</v>
      </c>
      <c r="Y29" s="44">
        <v>8</v>
      </c>
    </row>
    <row r="30" spans="1:29" x14ac:dyDescent="0.3">
      <c r="A30" t="s">
        <v>34</v>
      </c>
      <c r="B30" s="36"/>
      <c r="C30" s="36"/>
      <c r="D30" s="36"/>
      <c r="E30" s="36" t="s">
        <v>54</v>
      </c>
      <c r="F30" s="35"/>
      <c r="G30" s="35" t="s">
        <v>51</v>
      </c>
      <c r="H30" s="35"/>
      <c r="I30" s="35" t="s">
        <v>52</v>
      </c>
      <c r="J30" s="36"/>
      <c r="K30" s="36"/>
      <c r="L30" s="36"/>
      <c r="M30" s="36" t="s">
        <v>53</v>
      </c>
      <c r="W30" s="44" t="s">
        <v>54</v>
      </c>
      <c r="X30" s="44">
        <v>4</v>
      </c>
      <c r="Y30" s="44">
        <v>12</v>
      </c>
    </row>
    <row r="31" spans="1:29" x14ac:dyDescent="0.3">
      <c r="A31" t="s">
        <v>35</v>
      </c>
      <c r="B31" s="36"/>
      <c r="C31" s="36"/>
      <c r="D31" s="36"/>
      <c r="E31" s="36" t="s">
        <v>53</v>
      </c>
      <c r="F31" s="36"/>
      <c r="G31" s="36"/>
      <c r="H31" s="36"/>
      <c r="I31" s="36" t="s">
        <v>54</v>
      </c>
      <c r="J31" s="35"/>
      <c r="K31" s="35" t="s">
        <v>51</v>
      </c>
      <c r="L31" s="35"/>
      <c r="M31" s="35" t="s">
        <v>52</v>
      </c>
      <c r="W31" s="44" t="s">
        <v>87</v>
      </c>
      <c r="X31" s="44">
        <v>2</v>
      </c>
      <c r="Y31" s="44">
        <v>4</v>
      </c>
    </row>
    <row r="32" spans="1:29" x14ac:dyDescent="0.3">
      <c r="A32" t="s">
        <v>36</v>
      </c>
      <c r="B32" s="36"/>
      <c r="C32" s="36" t="s">
        <v>54</v>
      </c>
      <c r="D32" s="35"/>
      <c r="E32" s="35" t="s">
        <v>51</v>
      </c>
      <c r="F32" s="35"/>
      <c r="G32" s="35" t="s">
        <v>52</v>
      </c>
      <c r="H32" s="36"/>
      <c r="I32" s="36"/>
      <c r="J32" s="36"/>
      <c r="K32" s="36" t="s">
        <v>53</v>
      </c>
      <c r="L32" s="36"/>
      <c r="M32" s="36"/>
      <c r="W32" s="44" t="s">
        <v>52</v>
      </c>
      <c r="X32" s="44">
        <v>2</v>
      </c>
      <c r="Y32" s="44">
        <v>10</v>
      </c>
    </row>
    <row r="33" spans="1:26" x14ac:dyDescent="0.3">
      <c r="A33" t="s">
        <v>37</v>
      </c>
      <c r="B33" s="35"/>
      <c r="C33" s="35" t="s">
        <v>51</v>
      </c>
      <c r="D33" s="36"/>
      <c r="E33" s="36"/>
      <c r="F33" s="36"/>
      <c r="G33" s="36" t="s">
        <v>53</v>
      </c>
      <c r="H33" s="36"/>
      <c r="I33" s="36"/>
      <c r="J33" s="36"/>
      <c r="K33" s="36" t="s">
        <v>54</v>
      </c>
      <c r="L33" s="35"/>
      <c r="M33" s="35" t="s">
        <v>51</v>
      </c>
      <c r="Y33" s="44">
        <v>6</v>
      </c>
    </row>
    <row r="34" spans="1:26" x14ac:dyDescent="0.3">
      <c r="A34" t="s">
        <v>38</v>
      </c>
      <c r="B34" s="36"/>
      <c r="C34" s="36" t="s">
        <v>53</v>
      </c>
      <c r="D34" s="36"/>
      <c r="E34" s="36"/>
      <c r="F34" s="36"/>
      <c r="G34" s="36" t="s">
        <v>54</v>
      </c>
      <c r="H34" s="35"/>
      <c r="I34" s="35" t="s">
        <v>51</v>
      </c>
      <c r="J34" s="35"/>
      <c r="K34" s="35" t="s">
        <v>52</v>
      </c>
      <c r="L34" s="36"/>
      <c r="M34" s="36"/>
      <c r="Y34" s="44">
        <v>2</v>
      </c>
    </row>
    <row r="36" spans="1:26" x14ac:dyDescent="0.3">
      <c r="A36" s="53" t="s">
        <v>46</v>
      </c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x14ac:dyDescent="0.3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44" t="s">
        <v>85</v>
      </c>
      <c r="X37" s="44">
        <v>6</v>
      </c>
      <c r="Y37" s="45" t="s">
        <v>88</v>
      </c>
      <c r="Z37" s="45"/>
    </row>
    <row r="38" spans="1:26" x14ac:dyDescent="0.3">
      <c r="A38" t="s">
        <v>33</v>
      </c>
      <c r="B38" s="35"/>
      <c r="C38" s="35" t="s">
        <v>51</v>
      </c>
      <c r="D38" s="35"/>
      <c r="E38" s="35" t="s">
        <v>52</v>
      </c>
      <c r="F38" s="36"/>
      <c r="G38" s="36"/>
      <c r="H38" s="36" t="s">
        <v>53</v>
      </c>
      <c r="I38" s="36"/>
      <c r="J38" s="36"/>
      <c r="K38" s="36" t="s">
        <v>54</v>
      </c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44" t="s">
        <v>86</v>
      </c>
      <c r="X38" s="44">
        <v>3</v>
      </c>
      <c r="Y38" s="45">
        <v>7</v>
      </c>
      <c r="Z38" s="45"/>
    </row>
    <row r="39" spans="1:26" x14ac:dyDescent="0.3">
      <c r="A39" t="s">
        <v>34</v>
      </c>
      <c r="B39" s="36"/>
      <c r="C39" s="36"/>
      <c r="D39" s="36" t="s">
        <v>54</v>
      </c>
      <c r="E39" s="35"/>
      <c r="F39" s="35" t="s">
        <v>51</v>
      </c>
      <c r="G39" s="35"/>
      <c r="H39" s="35" t="s">
        <v>52</v>
      </c>
      <c r="I39" s="36"/>
      <c r="J39" s="36"/>
      <c r="K39" s="36" t="s">
        <v>53</v>
      </c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44" t="s">
        <v>54</v>
      </c>
      <c r="X39" s="44">
        <v>3</v>
      </c>
      <c r="Y39" s="45">
        <v>10</v>
      </c>
      <c r="Z39" s="45"/>
    </row>
    <row r="40" spans="1:26" x14ac:dyDescent="0.3">
      <c r="A40" t="s">
        <v>35</v>
      </c>
      <c r="B40" s="36"/>
      <c r="C40" s="36"/>
      <c r="D40" s="36" t="s">
        <v>53</v>
      </c>
      <c r="E40" s="36"/>
      <c r="F40" s="36"/>
      <c r="G40" s="36" t="s">
        <v>54</v>
      </c>
      <c r="H40" s="35"/>
      <c r="I40" s="35" t="s">
        <v>51</v>
      </c>
      <c r="J40" s="35"/>
      <c r="K40" s="35" t="s">
        <v>52</v>
      </c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44" t="s">
        <v>87</v>
      </c>
      <c r="X40" s="44">
        <v>2</v>
      </c>
      <c r="Y40" s="45">
        <v>3</v>
      </c>
      <c r="Z40" s="45"/>
    </row>
    <row r="41" spans="1:26" x14ac:dyDescent="0.3">
      <c r="A41" t="s">
        <v>36</v>
      </c>
      <c r="B41" s="36" t="s">
        <v>54</v>
      </c>
      <c r="C41" s="35"/>
      <c r="D41" s="35" t="s">
        <v>51</v>
      </c>
      <c r="E41" s="35"/>
      <c r="F41" s="35" t="s">
        <v>52</v>
      </c>
      <c r="G41" s="36"/>
      <c r="H41" s="36"/>
      <c r="I41" s="36" t="s">
        <v>53</v>
      </c>
      <c r="J41" s="36"/>
      <c r="K41" s="36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44" t="s">
        <v>52</v>
      </c>
      <c r="X41" s="44">
        <v>2</v>
      </c>
      <c r="Y41" s="45">
        <v>8</v>
      </c>
      <c r="Z41" s="45"/>
    </row>
    <row r="42" spans="1:26" x14ac:dyDescent="0.3">
      <c r="A42" t="s">
        <v>37</v>
      </c>
      <c r="B42" s="35"/>
      <c r="C42" s="35" t="s">
        <v>52</v>
      </c>
      <c r="D42" s="36"/>
      <c r="E42" s="36"/>
      <c r="F42" s="36" t="s">
        <v>53</v>
      </c>
      <c r="G42" s="36"/>
      <c r="H42" s="36"/>
      <c r="I42" s="36" t="s">
        <v>54</v>
      </c>
      <c r="J42" s="35"/>
      <c r="K42" s="35" t="s">
        <v>51</v>
      </c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45"/>
      <c r="X42" s="45"/>
      <c r="Y42" s="45">
        <v>5</v>
      </c>
      <c r="Z42" s="45"/>
    </row>
    <row r="43" spans="1:26" x14ac:dyDescent="0.3">
      <c r="A43" t="s">
        <v>38</v>
      </c>
      <c r="B43" s="36"/>
      <c r="C43" s="36" t="s">
        <v>53</v>
      </c>
      <c r="D43" s="36"/>
      <c r="E43" s="36"/>
      <c r="F43" s="36" t="s">
        <v>54</v>
      </c>
      <c r="G43" s="35"/>
      <c r="H43" s="35" t="s">
        <v>51</v>
      </c>
      <c r="I43" s="35"/>
      <c r="J43" s="35" t="s">
        <v>52</v>
      </c>
      <c r="K43" s="36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45"/>
      <c r="X43" s="45"/>
      <c r="Y43" s="45">
        <v>2</v>
      </c>
      <c r="Z43" s="45"/>
    </row>
    <row r="45" spans="1:26" x14ac:dyDescent="0.3">
      <c r="A45" s="53" t="s">
        <v>121</v>
      </c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x14ac:dyDescent="0.3"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44" t="s">
        <v>85</v>
      </c>
      <c r="X46" s="44">
        <v>6</v>
      </c>
      <c r="Y46" s="45" t="s">
        <v>88</v>
      </c>
      <c r="Z46" s="45"/>
    </row>
    <row r="47" spans="1:26" x14ac:dyDescent="0.3">
      <c r="A47" t="s">
        <v>33</v>
      </c>
      <c r="B47" s="46" t="s">
        <v>53</v>
      </c>
      <c r="C47" s="46"/>
      <c r="D47" s="46" t="s">
        <v>54</v>
      </c>
      <c r="E47" s="47"/>
      <c r="F47" s="48"/>
      <c r="G47" s="48" t="s">
        <v>51</v>
      </c>
      <c r="H47" s="48"/>
      <c r="I47" s="48"/>
      <c r="J47" s="48"/>
      <c r="K47" s="48" t="s">
        <v>52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44" t="s">
        <v>86</v>
      </c>
      <c r="X47" s="44">
        <v>1</v>
      </c>
      <c r="Y47" s="45">
        <v>1</v>
      </c>
      <c r="Z47" s="45"/>
    </row>
    <row r="48" spans="1:26" x14ac:dyDescent="0.3">
      <c r="A48" t="s">
        <v>34</v>
      </c>
      <c r="B48" s="47"/>
      <c r="C48" s="47"/>
      <c r="D48" s="46" t="s">
        <v>53</v>
      </c>
      <c r="E48" s="46"/>
      <c r="F48" s="46"/>
      <c r="G48" s="47"/>
      <c r="H48" s="48"/>
      <c r="I48" s="48"/>
      <c r="J48" s="48"/>
      <c r="K48" s="48"/>
      <c r="L48" s="36"/>
      <c r="M48" s="36"/>
      <c r="N48" s="37"/>
      <c r="O48" s="37"/>
      <c r="P48" s="37"/>
      <c r="Q48" s="37"/>
      <c r="R48" s="37"/>
      <c r="S48" s="37"/>
      <c r="T48" s="37"/>
      <c r="U48" s="37"/>
      <c r="V48" s="37"/>
      <c r="W48" s="44" t="s">
        <v>54</v>
      </c>
      <c r="X48" s="44">
        <v>2</v>
      </c>
      <c r="Y48" s="45">
        <v>3</v>
      </c>
      <c r="Z48" s="45"/>
    </row>
    <row r="49" spans="1:26" x14ac:dyDescent="0.3">
      <c r="A49" t="s">
        <v>35</v>
      </c>
      <c r="B49" s="47"/>
      <c r="C49" s="47"/>
      <c r="D49" s="47"/>
      <c r="E49" s="47"/>
      <c r="F49" s="46" t="s">
        <v>53</v>
      </c>
      <c r="G49" s="46"/>
      <c r="H49" s="46"/>
      <c r="I49" s="47"/>
      <c r="J49" s="48"/>
      <c r="K49" s="48"/>
      <c r="L49" s="36"/>
      <c r="M49" s="36"/>
      <c r="N49" s="36"/>
      <c r="O49" s="36"/>
      <c r="P49" s="37"/>
      <c r="Q49" s="37"/>
      <c r="R49" s="37"/>
      <c r="S49" s="37"/>
      <c r="T49" s="37"/>
      <c r="U49" s="37"/>
      <c r="V49" s="37"/>
      <c r="W49" s="44" t="s">
        <v>87</v>
      </c>
      <c r="X49" s="44">
        <v>3</v>
      </c>
      <c r="Y49" s="45">
        <v>5</v>
      </c>
      <c r="Z49" s="45"/>
    </row>
    <row r="50" spans="1:26" x14ac:dyDescent="0.3">
      <c r="A50" t="s">
        <v>36</v>
      </c>
      <c r="B50" s="47"/>
      <c r="C50" s="47"/>
      <c r="D50" s="47"/>
      <c r="E50" s="47"/>
      <c r="F50" s="47"/>
      <c r="G50" s="46" t="s">
        <v>53</v>
      </c>
      <c r="H50" s="46"/>
      <c r="I50" s="46"/>
      <c r="J50" s="47"/>
      <c r="K50" s="48"/>
      <c r="L50" s="36"/>
      <c r="M50" s="36"/>
      <c r="N50" s="36"/>
      <c r="O50" s="36"/>
      <c r="P50" s="36"/>
      <c r="Q50" s="36"/>
      <c r="R50" s="37"/>
      <c r="S50" s="37"/>
      <c r="T50" s="37"/>
      <c r="U50" s="37"/>
      <c r="V50" s="37"/>
      <c r="W50" s="44" t="s">
        <v>52</v>
      </c>
      <c r="X50" s="44">
        <v>4</v>
      </c>
      <c r="Y50" s="45">
        <v>6</v>
      </c>
      <c r="Z50" s="45"/>
    </row>
    <row r="51" spans="1:26" x14ac:dyDescent="0.3">
      <c r="A51" t="s">
        <v>37</v>
      </c>
      <c r="B51" s="47"/>
      <c r="C51" s="47"/>
      <c r="D51" s="47"/>
      <c r="E51" s="47"/>
      <c r="F51" s="47"/>
      <c r="G51" s="47"/>
      <c r="H51" s="47"/>
      <c r="I51" s="46" t="s">
        <v>53</v>
      </c>
      <c r="J51" s="46"/>
      <c r="K51" s="46"/>
      <c r="L51" s="37"/>
      <c r="M51" s="37"/>
      <c r="N51" s="36"/>
      <c r="O51" s="36"/>
      <c r="P51" s="36"/>
      <c r="Q51" s="36"/>
      <c r="R51" s="36"/>
      <c r="S51" s="36"/>
      <c r="T51" s="37"/>
      <c r="U51" s="37"/>
      <c r="V51" s="37"/>
      <c r="W51" s="45"/>
      <c r="X51" s="45"/>
      <c r="Y51" s="45">
        <v>8</v>
      </c>
      <c r="Z51" s="45"/>
    </row>
    <row r="52" spans="1:26" x14ac:dyDescent="0.3">
      <c r="A52" t="s">
        <v>38</v>
      </c>
      <c r="B52" s="46"/>
      <c r="C52" s="46"/>
      <c r="D52" s="47"/>
      <c r="E52" s="47"/>
      <c r="F52" s="47"/>
      <c r="G52" s="47"/>
      <c r="H52" s="47"/>
      <c r="I52" s="47"/>
      <c r="J52" s="47"/>
      <c r="K52" s="46" t="s">
        <v>53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45"/>
      <c r="X52" s="45"/>
      <c r="Y52" s="45">
        <v>10</v>
      </c>
      <c r="Z52" s="45"/>
    </row>
  </sheetData>
  <mergeCells count="5">
    <mergeCell ref="A18:Z18"/>
    <mergeCell ref="A9:Z9"/>
    <mergeCell ref="A27:Z27"/>
    <mergeCell ref="A36:Z36"/>
    <mergeCell ref="A45:Z45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7"/>
  <sheetViews>
    <sheetView workbookViewId="0">
      <selection activeCell="G18" sqref="G18"/>
    </sheetView>
  </sheetViews>
  <sheetFormatPr defaultRowHeight="14.4" x14ac:dyDescent="0.3"/>
  <sheetData>
    <row r="1" spans="1:4" x14ac:dyDescent="0.3">
      <c r="A1" t="s">
        <v>84</v>
      </c>
      <c r="B1" t="s">
        <v>81</v>
      </c>
      <c r="C1" t="s">
        <v>80</v>
      </c>
      <c r="D1" t="s">
        <v>79</v>
      </c>
    </row>
    <row r="2" spans="1:4" x14ac:dyDescent="0.3">
      <c r="A2">
        <v>1</v>
      </c>
      <c r="B2">
        <v>-1.0000000000041087E-2</v>
      </c>
      <c r="C2">
        <v>4.1312674709989882E-10</v>
      </c>
      <c r="D2">
        <v>3.9899999999999589</v>
      </c>
    </row>
    <row r="3" spans="1:4" x14ac:dyDescent="0.3">
      <c r="A3">
        <v>2</v>
      </c>
    </row>
    <row r="4" spans="1:4" x14ac:dyDescent="0.3">
      <c r="A4">
        <v>3</v>
      </c>
    </row>
    <row r="5" spans="1:4" x14ac:dyDescent="0.3">
      <c r="A5">
        <v>4</v>
      </c>
    </row>
    <row r="6" spans="1:4" x14ac:dyDescent="0.3">
      <c r="A6">
        <v>5</v>
      </c>
    </row>
    <row r="7" spans="1:4" x14ac:dyDescent="0.3">
      <c r="A7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6"/>
  <sheetViews>
    <sheetView workbookViewId="0">
      <selection activeCell="P10" sqref="P10"/>
    </sheetView>
  </sheetViews>
  <sheetFormatPr defaultRowHeight="14.4" x14ac:dyDescent="0.3"/>
  <cols>
    <col min="1" max="1" width="12.6640625" bestFit="1" customWidth="1"/>
    <col min="2" max="26" width="7.6640625" customWidth="1"/>
  </cols>
  <sheetData>
    <row r="1" spans="1:26" x14ac:dyDescent="0.3">
      <c r="B1" s="49" t="s">
        <v>60</v>
      </c>
      <c r="C1" s="49"/>
      <c r="D1" s="49"/>
      <c r="E1" s="49" t="s">
        <v>64</v>
      </c>
      <c r="F1" s="49"/>
      <c r="G1" s="49"/>
      <c r="H1" s="49" t="s">
        <v>65</v>
      </c>
      <c r="I1" s="49"/>
      <c r="J1" s="49"/>
      <c r="K1" s="49" t="s">
        <v>68</v>
      </c>
      <c r="L1" s="49"/>
      <c r="M1" s="49"/>
      <c r="N1" s="49" t="s">
        <v>63</v>
      </c>
      <c r="O1" s="49"/>
      <c r="P1" s="49"/>
      <c r="Q1" s="49" t="s">
        <v>61</v>
      </c>
      <c r="R1" s="49"/>
      <c r="S1" s="49"/>
      <c r="T1" s="49"/>
      <c r="U1" s="49" t="s">
        <v>6</v>
      </c>
      <c r="V1" s="49"/>
      <c r="W1" s="49"/>
      <c r="X1" s="49" t="s">
        <v>5</v>
      </c>
      <c r="Y1" s="49"/>
      <c r="Z1" s="49"/>
    </row>
    <row r="2" spans="1:26" x14ac:dyDescent="0.3">
      <c r="B2" s="1" t="s">
        <v>57</v>
      </c>
      <c r="C2" s="1" t="s">
        <v>58</v>
      </c>
      <c r="D2" s="1" t="s">
        <v>59</v>
      </c>
      <c r="E2" s="1" t="s">
        <v>57</v>
      </c>
      <c r="F2" s="1" t="s">
        <v>58</v>
      </c>
      <c r="G2" s="1" t="s">
        <v>59</v>
      </c>
      <c r="H2" s="1" t="s">
        <v>57</v>
      </c>
      <c r="I2" s="1" t="s">
        <v>58</v>
      </c>
      <c r="J2" s="1" t="s">
        <v>59</v>
      </c>
      <c r="K2" s="1" t="s">
        <v>57</v>
      </c>
      <c r="L2" s="1" t="s">
        <v>58</v>
      </c>
      <c r="M2" s="1" t="s">
        <v>59</v>
      </c>
      <c r="N2" s="1" t="s">
        <v>57</v>
      </c>
      <c r="O2" s="1" t="s">
        <v>58</v>
      </c>
      <c r="P2" s="1" t="s">
        <v>59</v>
      </c>
      <c r="Q2" s="1" t="s">
        <v>62</v>
      </c>
      <c r="R2" s="1" t="s">
        <v>57</v>
      </c>
      <c r="S2" s="1" t="s">
        <v>58</v>
      </c>
      <c r="T2" s="1" t="s">
        <v>59</v>
      </c>
      <c r="U2" s="1" t="s">
        <v>0</v>
      </c>
      <c r="V2" s="1" t="s">
        <v>7</v>
      </c>
      <c r="W2" s="1" t="s">
        <v>8</v>
      </c>
      <c r="X2" s="1" t="s">
        <v>0</v>
      </c>
      <c r="Y2" s="1" t="s">
        <v>7</v>
      </c>
      <c r="Z2" s="1" t="s">
        <v>8</v>
      </c>
    </row>
    <row r="3" spans="1:26" x14ac:dyDescent="0.3">
      <c r="A3" s="1" t="s">
        <v>9</v>
      </c>
      <c r="B3" s="39">
        <v>1</v>
      </c>
      <c r="C3" s="39">
        <v>-0.5</v>
      </c>
      <c r="D3" s="39">
        <v>-2</v>
      </c>
      <c r="E3" s="39">
        <f>R_min*SQRT(3)/2</f>
        <v>1.9052558883257651</v>
      </c>
      <c r="F3" s="39">
        <f>R_min*1/2</f>
        <v>1.1000000000000001</v>
      </c>
      <c r="G3" s="39">
        <v>-2</v>
      </c>
      <c r="H3" s="39">
        <f>R_max*SQRT(3)/2</f>
        <v>4.3301270189221928</v>
      </c>
      <c r="I3" s="39">
        <f>R_max*1/2</f>
        <v>2.5</v>
      </c>
      <c r="J3" s="39">
        <v>-0.2</v>
      </c>
      <c r="K3" s="39">
        <f>R_r*SQRT(3)/2</f>
        <v>2.598076211353316</v>
      </c>
      <c r="L3" s="39">
        <f>R_r*1/2</f>
        <v>1.5</v>
      </c>
      <c r="M3" s="39">
        <v>-1</v>
      </c>
      <c r="N3" s="39">
        <f>R_b*SQRT(3)/2</f>
        <v>1.7320508075688772</v>
      </c>
      <c r="O3" s="39">
        <f>R_b*1/2</f>
        <v>1</v>
      </c>
      <c r="P3" s="40">
        <v>0</v>
      </c>
      <c r="Q3" s="40">
        <f>30*PI()/180</f>
        <v>0.52359877559829882</v>
      </c>
      <c r="R3" s="39">
        <f>X*COS(A_global)-Y*SIN(A_global)+X_base</f>
        <v>2.848076211353316</v>
      </c>
      <c r="S3" s="39">
        <f t="shared" ref="S3:S8" si="0">X*SIN(A_global)+Y*COS(A_global)+Y_base</f>
        <v>1.0669872981077806</v>
      </c>
      <c r="T3" s="39">
        <f t="shared" ref="T3:T8" si="1">Z</f>
        <v>-2</v>
      </c>
      <c r="U3" s="40">
        <f t="shared" ref="U3:U8" si="2">ACOS((((X^2)+(Y^2)+(Z^2))-((L_1^2)-(L_2^2)))/(-2*L_1*L_2))</f>
        <v>1.591631167463545</v>
      </c>
      <c r="V3" s="40">
        <f t="shared" ref="V3:V8" si="3">(PI()/2)-ASIN((L_2*SIN(Alpha))/(SQRT((X^2)+(Y^2)+(Z^2))))+ATAN(Z/(SQRT((X^2)+(Y^2))))</f>
        <v>-0.55092885547337245</v>
      </c>
      <c r="W3" s="40">
        <f t="shared" ref="W3:W8" si="4">ATAN(Y/X)</f>
        <v>-0.46364760900080609</v>
      </c>
      <c r="X3" s="40">
        <f>Alpha*(180/PI())</f>
        <v>91.193748437141082</v>
      </c>
      <c r="Y3" s="40">
        <f t="shared" ref="Y3:Y8" si="5">Theta*(180/PI())</f>
        <v>-31.565898230597146</v>
      </c>
      <c r="Z3" s="40">
        <f t="shared" ref="Z3:Z8" si="6">Beta*(180/PI())</f>
        <v>-26.56505117707799</v>
      </c>
    </row>
    <row r="4" spans="1:26" x14ac:dyDescent="0.3">
      <c r="A4" s="1" t="s">
        <v>39</v>
      </c>
      <c r="B4" s="39">
        <v>1</v>
      </c>
      <c r="C4" s="39">
        <v>0</v>
      </c>
      <c r="D4" s="39">
        <v>-2</v>
      </c>
      <c r="E4" s="39">
        <v>0</v>
      </c>
      <c r="F4" s="39">
        <f>R_min</f>
        <v>2.2000000000000002</v>
      </c>
      <c r="G4" s="39">
        <v>-2</v>
      </c>
      <c r="H4" s="39">
        <v>0</v>
      </c>
      <c r="I4" s="39">
        <f>R_max</f>
        <v>5</v>
      </c>
      <c r="J4" s="39">
        <v>-0.2</v>
      </c>
      <c r="K4" s="39">
        <v>0</v>
      </c>
      <c r="L4" s="39">
        <f>R_r</f>
        <v>3</v>
      </c>
      <c r="M4" s="39">
        <v>-1</v>
      </c>
      <c r="N4" s="39">
        <v>0</v>
      </c>
      <c r="O4" s="39">
        <f>R_b</f>
        <v>2</v>
      </c>
      <c r="P4" s="40">
        <v>0</v>
      </c>
      <c r="Q4" s="39">
        <f>90*PI()/180</f>
        <v>1.5707963267948966</v>
      </c>
      <c r="R4" s="39">
        <f t="shared" ref="R4:R8" si="7">X*COS(A_global)-Y*SIN(A_global)+X_base</f>
        <v>6.1257422745431001E-17</v>
      </c>
      <c r="S4" s="39">
        <f t="shared" si="0"/>
        <v>3</v>
      </c>
      <c r="T4" s="39">
        <f t="shared" si="1"/>
        <v>-2</v>
      </c>
      <c r="U4" s="40">
        <f t="shared" si="2"/>
        <v>1.5707963267948966</v>
      </c>
      <c r="V4" s="40">
        <f t="shared" si="3"/>
        <v>-0.64350110879328426</v>
      </c>
      <c r="W4" s="40">
        <f t="shared" si="4"/>
        <v>0</v>
      </c>
      <c r="X4" s="40">
        <f t="shared" ref="X4:X8" si="8">U4*(180/PI())</f>
        <v>90</v>
      </c>
      <c r="Y4" s="40">
        <f t="shared" si="5"/>
        <v>-36.869897645844013</v>
      </c>
      <c r="Z4" s="40">
        <f t="shared" si="6"/>
        <v>0</v>
      </c>
    </row>
    <row r="5" spans="1:26" x14ac:dyDescent="0.3">
      <c r="A5" s="1" t="s">
        <v>40</v>
      </c>
      <c r="B5" s="39">
        <v>1</v>
      </c>
      <c r="C5" s="39">
        <v>0</v>
      </c>
      <c r="D5" s="39">
        <v>-2</v>
      </c>
      <c r="E5" s="39">
        <f>-R_min*SQRT(3)/2</f>
        <v>-1.9052558883257651</v>
      </c>
      <c r="F5" s="39">
        <f>R_min*1/2</f>
        <v>1.1000000000000001</v>
      </c>
      <c r="G5" s="39">
        <v>-2</v>
      </c>
      <c r="H5" s="39">
        <f>-R_max*SQRT(3)/2</f>
        <v>-4.3301270189221928</v>
      </c>
      <c r="I5" s="39">
        <f>R_max*1/2</f>
        <v>2.5</v>
      </c>
      <c r="J5" s="39">
        <v>-0.2</v>
      </c>
      <c r="K5" s="39">
        <f>-R_r*SQRT(3)/2</f>
        <v>-2.598076211353316</v>
      </c>
      <c r="L5" s="39">
        <f>R_r*1/2</f>
        <v>1.5</v>
      </c>
      <c r="M5" s="39">
        <v>-1</v>
      </c>
      <c r="N5" s="39">
        <f>-R_b*SQRT(3)/2</f>
        <v>-1.7320508075688772</v>
      </c>
      <c r="O5" s="39">
        <f>R_b*1/2</f>
        <v>1</v>
      </c>
      <c r="P5" s="40">
        <v>0</v>
      </c>
      <c r="Q5" s="40">
        <f>150*PI()/180</f>
        <v>2.6179938779914944</v>
      </c>
      <c r="R5" s="39">
        <f t="shared" si="7"/>
        <v>-2.598076211353316</v>
      </c>
      <c r="S5" s="39">
        <f t="shared" si="0"/>
        <v>1.5</v>
      </c>
      <c r="T5" s="39">
        <f t="shared" si="1"/>
        <v>-2</v>
      </c>
      <c r="U5" s="40">
        <f t="shared" si="2"/>
        <v>1.5707963267948966</v>
      </c>
      <c r="V5" s="40">
        <f t="shared" si="3"/>
        <v>-0.64350110879328426</v>
      </c>
      <c r="W5" s="40">
        <f t="shared" si="4"/>
        <v>0</v>
      </c>
      <c r="X5" s="40">
        <f t="shared" si="8"/>
        <v>90</v>
      </c>
      <c r="Y5" s="40">
        <f t="shared" si="5"/>
        <v>-36.869897645844013</v>
      </c>
      <c r="Z5" s="40">
        <f t="shared" si="6"/>
        <v>0</v>
      </c>
    </row>
    <row r="6" spans="1:26" x14ac:dyDescent="0.3">
      <c r="A6" s="1" t="s">
        <v>41</v>
      </c>
      <c r="B6" s="39">
        <v>1</v>
      </c>
      <c r="C6" s="39">
        <v>0</v>
      </c>
      <c r="D6" s="39">
        <v>-2</v>
      </c>
      <c r="E6" s="39">
        <f>-R_min*SQRT(3)/2</f>
        <v>-1.9052558883257651</v>
      </c>
      <c r="F6" s="39">
        <f>-R_min*1/2</f>
        <v>-1.1000000000000001</v>
      </c>
      <c r="G6" s="39">
        <v>-2</v>
      </c>
      <c r="H6" s="39">
        <f>-R_max*SQRT(3)/2</f>
        <v>-4.3301270189221928</v>
      </c>
      <c r="I6" s="39">
        <f>-R_max*1/2</f>
        <v>-2.5</v>
      </c>
      <c r="J6" s="39">
        <v>-0.2</v>
      </c>
      <c r="K6" s="39">
        <f>-R_r*SQRT(3)/2</f>
        <v>-2.598076211353316</v>
      </c>
      <c r="L6" s="39">
        <f>-R_r*1/2</f>
        <v>-1.5</v>
      </c>
      <c r="M6" s="39">
        <v>-1</v>
      </c>
      <c r="N6" s="39">
        <f>-R_b*SQRT(3)/2</f>
        <v>-1.7320508075688772</v>
      </c>
      <c r="O6" s="39">
        <f>-R_b*1/2</f>
        <v>-1</v>
      </c>
      <c r="P6" s="40">
        <v>0</v>
      </c>
      <c r="Q6" s="39">
        <f>210*PI()/180</f>
        <v>3.6651914291880923</v>
      </c>
      <c r="R6" s="39">
        <f t="shared" si="7"/>
        <v>-2.598076211353316</v>
      </c>
      <c r="S6" s="39">
        <f t="shared" si="0"/>
        <v>-1.5</v>
      </c>
      <c r="T6" s="39">
        <f t="shared" si="1"/>
        <v>-2</v>
      </c>
      <c r="U6" s="40">
        <f t="shared" si="2"/>
        <v>1.5707963267948966</v>
      </c>
      <c r="V6" s="40">
        <f t="shared" si="3"/>
        <v>-0.64350110879328426</v>
      </c>
      <c r="W6" s="40">
        <f t="shared" si="4"/>
        <v>0</v>
      </c>
      <c r="X6" s="40">
        <f t="shared" si="8"/>
        <v>90</v>
      </c>
      <c r="Y6" s="40">
        <f t="shared" si="5"/>
        <v>-36.869897645844013</v>
      </c>
      <c r="Z6" s="40">
        <f t="shared" si="6"/>
        <v>0</v>
      </c>
    </row>
    <row r="7" spans="1:26" x14ac:dyDescent="0.3">
      <c r="A7" s="1" t="s">
        <v>42</v>
      </c>
      <c r="B7" s="39">
        <v>1</v>
      </c>
      <c r="C7" s="39">
        <v>0</v>
      </c>
      <c r="D7" s="39">
        <v>-2</v>
      </c>
      <c r="E7" s="39">
        <v>0</v>
      </c>
      <c r="F7" s="39">
        <f>-R_min</f>
        <v>-2.2000000000000002</v>
      </c>
      <c r="G7" s="39">
        <v>-2</v>
      </c>
      <c r="H7" s="39">
        <v>0</v>
      </c>
      <c r="I7" s="39">
        <f>-R_max</f>
        <v>-5</v>
      </c>
      <c r="J7" s="39">
        <v>-0.2</v>
      </c>
      <c r="K7" s="39">
        <v>0</v>
      </c>
      <c r="L7" s="39">
        <f>-R_r</f>
        <v>-3</v>
      </c>
      <c r="M7" s="39">
        <v>-1</v>
      </c>
      <c r="N7" s="39">
        <v>0</v>
      </c>
      <c r="O7" s="39">
        <f>-R_b</f>
        <v>-2</v>
      </c>
      <c r="P7" s="40">
        <v>0</v>
      </c>
      <c r="Q7" s="40">
        <f>270*PI()/180</f>
        <v>4.7123889803846897</v>
      </c>
      <c r="R7" s="39">
        <f t="shared" si="7"/>
        <v>-1.83772268236293E-16</v>
      </c>
      <c r="S7" s="39">
        <f t="shared" si="0"/>
        <v>-3</v>
      </c>
      <c r="T7" s="39">
        <f t="shared" si="1"/>
        <v>-2</v>
      </c>
      <c r="U7" s="40">
        <f t="shared" si="2"/>
        <v>1.5707963267948966</v>
      </c>
      <c r="V7" s="40">
        <f t="shared" si="3"/>
        <v>-0.64350110879328426</v>
      </c>
      <c r="W7" s="40">
        <f t="shared" si="4"/>
        <v>0</v>
      </c>
      <c r="X7" s="40">
        <f t="shared" si="8"/>
        <v>90</v>
      </c>
      <c r="Y7" s="40">
        <f t="shared" si="5"/>
        <v>-36.869897645844013</v>
      </c>
      <c r="Z7" s="40">
        <f t="shared" si="6"/>
        <v>0</v>
      </c>
    </row>
    <row r="8" spans="1:26" x14ac:dyDescent="0.3">
      <c r="A8" s="1" t="s">
        <v>43</v>
      </c>
      <c r="B8" s="39">
        <v>1</v>
      </c>
      <c r="C8" s="39">
        <v>0</v>
      </c>
      <c r="D8" s="39">
        <v>-2</v>
      </c>
      <c r="E8" s="39">
        <f>R_min*SQRT(3)/2</f>
        <v>1.9052558883257651</v>
      </c>
      <c r="F8" s="39">
        <f>-R_min*1/2</f>
        <v>-1.1000000000000001</v>
      </c>
      <c r="G8" s="39">
        <v>-2</v>
      </c>
      <c r="H8" s="39">
        <f>R_max*SQRT(3)/2</f>
        <v>4.3301270189221928</v>
      </c>
      <c r="I8" s="39">
        <f>-R_max*1/2</f>
        <v>-2.5</v>
      </c>
      <c r="J8" s="39">
        <v>-0.2</v>
      </c>
      <c r="K8" s="39">
        <f>R_r*SQRT(3)/2</f>
        <v>2.598076211353316</v>
      </c>
      <c r="L8" s="39">
        <f>-R_r*1/2</f>
        <v>-1.5</v>
      </c>
      <c r="M8" s="39">
        <v>-1</v>
      </c>
      <c r="N8" s="39">
        <f>R_b*SQRT(3)/2</f>
        <v>1.7320508075688772</v>
      </c>
      <c r="O8" s="39">
        <f>-R_b*1/2</f>
        <v>-1</v>
      </c>
      <c r="P8" s="40">
        <v>0</v>
      </c>
      <c r="Q8" s="39">
        <f>330*PI()/180</f>
        <v>5.7595865315812871</v>
      </c>
      <c r="R8" s="39">
        <f t="shared" si="7"/>
        <v>2.5980762113533156</v>
      </c>
      <c r="S8" s="39">
        <f t="shared" si="0"/>
        <v>-1.5000000000000004</v>
      </c>
      <c r="T8" s="39">
        <f t="shared" si="1"/>
        <v>-2</v>
      </c>
      <c r="U8" s="40">
        <f t="shared" si="2"/>
        <v>1.5707963267948966</v>
      </c>
      <c r="V8" s="40">
        <f t="shared" si="3"/>
        <v>-0.64350110879328426</v>
      </c>
      <c r="W8" s="40">
        <f t="shared" si="4"/>
        <v>0</v>
      </c>
      <c r="X8" s="40">
        <f t="shared" si="8"/>
        <v>90</v>
      </c>
      <c r="Y8" s="40">
        <f t="shared" si="5"/>
        <v>-36.869897645844013</v>
      </c>
      <c r="Z8" s="40">
        <f t="shared" si="6"/>
        <v>0</v>
      </c>
    </row>
    <row r="9" spans="1:26" x14ac:dyDescent="0.3">
      <c r="D9" s="41"/>
      <c r="E9" s="41"/>
      <c r="F9" s="41"/>
      <c r="G9" s="41"/>
      <c r="H9" s="41"/>
      <c r="I9" s="41"/>
      <c r="J9" s="41"/>
      <c r="K9" s="41"/>
      <c r="L9" s="41"/>
      <c r="M9" s="41"/>
    </row>
    <row r="10" spans="1:26" x14ac:dyDescent="0.3">
      <c r="A10" s="38" t="s">
        <v>4</v>
      </c>
      <c r="B10" s="42">
        <v>3</v>
      </c>
    </row>
    <row r="11" spans="1:26" x14ac:dyDescent="0.3">
      <c r="A11" s="38" t="s">
        <v>1</v>
      </c>
      <c r="B11" s="42">
        <v>2</v>
      </c>
    </row>
    <row r="12" spans="1:26" x14ac:dyDescent="0.3">
      <c r="A12" s="22" t="s">
        <v>24</v>
      </c>
      <c r="B12" s="42">
        <v>3</v>
      </c>
    </row>
    <row r="13" spans="1:26" x14ac:dyDescent="0.3">
      <c r="A13" s="22" t="s">
        <v>47</v>
      </c>
      <c r="B13" s="42">
        <v>2</v>
      </c>
    </row>
    <row r="14" spans="1:26" x14ac:dyDescent="0.3">
      <c r="A14" s="22" t="s">
        <v>66</v>
      </c>
      <c r="B14" s="42">
        <v>2.2000000000000002</v>
      </c>
    </row>
    <row r="15" spans="1:26" x14ac:dyDescent="0.3">
      <c r="A15" s="22" t="s">
        <v>67</v>
      </c>
      <c r="B15" s="42">
        <v>5</v>
      </c>
    </row>
    <row r="16" spans="1:26" x14ac:dyDescent="0.3">
      <c r="P16" s="33"/>
      <c r="Q16" s="33"/>
      <c r="R16" s="33"/>
      <c r="S16" s="33"/>
      <c r="T16" s="33"/>
    </row>
  </sheetData>
  <mergeCells count="8">
    <mergeCell ref="X1:Z1"/>
    <mergeCell ref="N1:P1"/>
    <mergeCell ref="B1:D1"/>
    <mergeCell ref="E1:G1"/>
    <mergeCell ref="H1:J1"/>
    <mergeCell ref="Q1:T1"/>
    <mergeCell ref="K1:M1"/>
    <mergeCell ref="U1:W1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workbookViewId="0">
      <selection activeCell="A2" sqref="A2"/>
    </sheetView>
  </sheetViews>
  <sheetFormatPr defaultRowHeight="14.4" x14ac:dyDescent="0.3"/>
  <cols>
    <col min="1" max="1" width="12" bestFit="1" customWidth="1"/>
  </cols>
  <sheetData>
    <row r="1" spans="1:3" x14ac:dyDescent="0.3">
      <c r="A1">
        <v>0</v>
      </c>
      <c r="B1">
        <v>0</v>
      </c>
      <c r="C1" t="s">
        <v>53</v>
      </c>
    </row>
    <row r="2" spans="1:3" x14ac:dyDescent="0.3">
      <c r="A2" s="43">
        <f>EXP(-(ABS(B2-2)^2.33)/0.23)+$A$1</f>
        <v>3.7613204469885664E-9</v>
      </c>
      <c r="B2">
        <f>B1+0.1</f>
        <v>0.1</v>
      </c>
    </row>
    <row r="3" spans="1:3" x14ac:dyDescent="0.3">
      <c r="A3" s="43">
        <f t="shared" ref="A3:A41" si="0">EXP(-(ABS(B3-2)^2.33)/0.23)+$A$1</f>
        <v>3.7369849515443568E-8</v>
      </c>
      <c r="B3">
        <f t="shared" ref="B3:B41" si="1">B2+0.1</f>
        <v>0.2</v>
      </c>
    </row>
    <row r="4" spans="1:3" x14ac:dyDescent="0.3">
      <c r="A4" s="43">
        <f t="shared" si="0"/>
        <v>3.1525808955654123E-7</v>
      </c>
      <c r="B4">
        <f t="shared" si="1"/>
        <v>0.30000000000000004</v>
      </c>
    </row>
    <row r="5" spans="1:3" x14ac:dyDescent="0.3">
      <c r="A5" s="43">
        <f t="shared" si="0"/>
        <v>2.2651805924878739E-6</v>
      </c>
      <c r="B5">
        <f t="shared" si="1"/>
        <v>0.4</v>
      </c>
    </row>
    <row r="6" spans="1:3" x14ac:dyDescent="0.3">
      <c r="A6" s="43">
        <f t="shared" si="0"/>
        <v>1.3906326581750079E-5</v>
      </c>
      <c r="B6">
        <f t="shared" si="1"/>
        <v>0.5</v>
      </c>
    </row>
    <row r="7" spans="1:3" x14ac:dyDescent="0.3">
      <c r="A7" s="43">
        <f t="shared" si="0"/>
        <v>7.3187262364615767E-5</v>
      </c>
      <c r="B7">
        <f t="shared" si="1"/>
        <v>0.6</v>
      </c>
    </row>
    <row r="8" spans="1:3" x14ac:dyDescent="0.3">
      <c r="A8" s="43">
        <f t="shared" si="0"/>
        <v>3.3134353621770333E-4</v>
      </c>
      <c r="B8">
        <f t="shared" si="1"/>
        <v>0.7</v>
      </c>
    </row>
    <row r="9" spans="1:3" x14ac:dyDescent="0.3">
      <c r="A9" s="43">
        <f t="shared" si="0"/>
        <v>1.2951554703307835E-3</v>
      </c>
      <c r="B9">
        <f t="shared" si="1"/>
        <v>0.79999999999999993</v>
      </c>
    </row>
    <row r="10" spans="1:3" x14ac:dyDescent="0.3">
      <c r="A10" s="43">
        <f t="shared" si="0"/>
        <v>4.3876303447544385E-3</v>
      </c>
      <c r="B10">
        <f t="shared" si="1"/>
        <v>0.89999999999999991</v>
      </c>
    </row>
    <row r="11" spans="1:3" x14ac:dyDescent="0.3">
      <c r="A11" s="43">
        <f t="shared" si="0"/>
        <v>1.2934901388949791E-2</v>
      </c>
      <c r="B11">
        <f t="shared" si="1"/>
        <v>0.99999999999999989</v>
      </c>
      <c r="C11" t="s">
        <v>54</v>
      </c>
    </row>
    <row r="12" spans="1:3" x14ac:dyDescent="0.3">
      <c r="A12" s="43">
        <f t="shared" si="0"/>
        <v>3.3326709640187822E-2</v>
      </c>
      <c r="B12">
        <f t="shared" si="1"/>
        <v>1.0999999999999999</v>
      </c>
    </row>
    <row r="13" spans="1:3" x14ac:dyDescent="0.3">
      <c r="A13" s="43">
        <f t="shared" si="0"/>
        <v>7.5391014764064485E-2</v>
      </c>
      <c r="B13">
        <f t="shared" si="1"/>
        <v>1.2</v>
      </c>
    </row>
    <row r="14" spans="1:3" x14ac:dyDescent="0.3">
      <c r="A14" s="43">
        <f t="shared" si="0"/>
        <v>0.15048800688482272</v>
      </c>
      <c r="B14">
        <f t="shared" si="1"/>
        <v>1.3</v>
      </c>
    </row>
    <row r="15" spans="1:3" x14ac:dyDescent="0.3">
      <c r="A15" s="43">
        <f t="shared" si="0"/>
        <v>0.26649353662113484</v>
      </c>
      <c r="B15">
        <f t="shared" si="1"/>
        <v>1.4000000000000001</v>
      </c>
    </row>
    <row r="16" spans="1:3" x14ac:dyDescent="0.3">
      <c r="A16" s="43">
        <f t="shared" si="0"/>
        <v>0.42117217199249152</v>
      </c>
      <c r="B16">
        <f t="shared" si="1"/>
        <v>1.5000000000000002</v>
      </c>
    </row>
    <row r="17" spans="1:3" x14ac:dyDescent="0.3">
      <c r="A17" s="43">
        <f t="shared" si="0"/>
        <v>0.59802135594038575</v>
      </c>
      <c r="B17">
        <f t="shared" si="1"/>
        <v>1.6000000000000003</v>
      </c>
    </row>
    <row r="18" spans="1:3" x14ac:dyDescent="0.3">
      <c r="A18" s="43">
        <f t="shared" si="0"/>
        <v>0.76873773587048555</v>
      </c>
      <c r="B18">
        <f t="shared" si="1"/>
        <v>1.7000000000000004</v>
      </c>
    </row>
    <row r="19" spans="1:3" x14ac:dyDescent="0.3">
      <c r="A19" s="43">
        <f t="shared" si="0"/>
        <v>0.90280196534137114</v>
      </c>
      <c r="B19">
        <f t="shared" si="1"/>
        <v>1.8000000000000005</v>
      </c>
    </row>
    <row r="20" spans="1:3" x14ac:dyDescent="0.3">
      <c r="A20" s="43">
        <f t="shared" si="0"/>
        <v>0.97986907763625286</v>
      </c>
      <c r="B20">
        <f t="shared" si="1"/>
        <v>1.9000000000000006</v>
      </c>
    </row>
    <row r="21" spans="1:3" x14ac:dyDescent="0.3">
      <c r="A21" s="43">
        <f t="shared" si="0"/>
        <v>1</v>
      </c>
      <c r="B21">
        <f t="shared" si="1"/>
        <v>2.0000000000000004</v>
      </c>
      <c r="C21" t="s">
        <v>51</v>
      </c>
    </row>
    <row r="22" spans="1:3" x14ac:dyDescent="0.3">
      <c r="A22" s="43">
        <f t="shared" si="0"/>
        <v>0.97986907763625242</v>
      </c>
      <c r="B22">
        <f t="shared" si="1"/>
        <v>2.1000000000000005</v>
      </c>
    </row>
    <row r="23" spans="1:3" x14ac:dyDescent="0.3">
      <c r="A23" s="43">
        <f t="shared" si="0"/>
        <v>0.90280196534136992</v>
      </c>
      <c r="B23">
        <f t="shared" si="1"/>
        <v>2.2000000000000006</v>
      </c>
    </row>
    <row r="24" spans="1:3" x14ac:dyDescent="0.3">
      <c r="A24" s="43">
        <f t="shared" si="0"/>
        <v>0.76873773587048388</v>
      </c>
      <c r="B24">
        <f t="shared" si="1"/>
        <v>2.3000000000000007</v>
      </c>
    </row>
    <row r="25" spans="1:3" x14ac:dyDescent="0.3">
      <c r="A25" s="43">
        <f t="shared" si="0"/>
        <v>0.59802135594038386</v>
      </c>
      <c r="B25">
        <f t="shared" si="1"/>
        <v>2.4000000000000008</v>
      </c>
    </row>
    <row r="26" spans="1:3" x14ac:dyDescent="0.3">
      <c r="A26" s="43">
        <f t="shared" si="0"/>
        <v>0.42117217199248974</v>
      </c>
      <c r="B26">
        <f t="shared" si="1"/>
        <v>2.5000000000000009</v>
      </c>
    </row>
    <row r="27" spans="1:3" x14ac:dyDescent="0.3">
      <c r="A27" s="43">
        <f t="shared" si="0"/>
        <v>0.26649353662113334</v>
      </c>
      <c r="B27">
        <f t="shared" si="1"/>
        <v>2.600000000000001</v>
      </c>
    </row>
    <row r="28" spans="1:3" x14ac:dyDescent="0.3">
      <c r="A28" s="43">
        <f t="shared" si="0"/>
        <v>0.1504880068848217</v>
      </c>
      <c r="B28">
        <f t="shared" si="1"/>
        <v>2.7000000000000011</v>
      </c>
    </row>
    <row r="29" spans="1:3" x14ac:dyDescent="0.3">
      <c r="A29" s="43">
        <f t="shared" si="0"/>
        <v>7.5391014764063888E-2</v>
      </c>
      <c r="B29">
        <f t="shared" si="1"/>
        <v>2.8000000000000012</v>
      </c>
    </row>
    <row r="30" spans="1:3" x14ac:dyDescent="0.3">
      <c r="A30" s="43">
        <f t="shared" si="0"/>
        <v>3.3326709640187496E-2</v>
      </c>
      <c r="B30">
        <f t="shared" si="1"/>
        <v>2.9000000000000012</v>
      </c>
    </row>
    <row r="31" spans="1:3" x14ac:dyDescent="0.3">
      <c r="A31" s="43">
        <f t="shared" si="0"/>
        <v>1.2934901388949619E-2</v>
      </c>
      <c r="B31">
        <f t="shared" si="1"/>
        <v>3.0000000000000013</v>
      </c>
      <c r="C31" t="s">
        <v>52</v>
      </c>
    </row>
    <row r="32" spans="1:3" x14ac:dyDescent="0.3">
      <c r="A32" s="43">
        <f t="shared" si="0"/>
        <v>4.3876303447543726E-3</v>
      </c>
      <c r="B32">
        <f t="shared" si="1"/>
        <v>3.1000000000000014</v>
      </c>
    </row>
    <row r="33" spans="1:3" x14ac:dyDescent="0.3">
      <c r="A33" s="43">
        <f t="shared" si="0"/>
        <v>1.2951554703307616E-3</v>
      </c>
      <c r="B33">
        <f t="shared" si="1"/>
        <v>3.2000000000000015</v>
      </c>
    </row>
    <row r="34" spans="1:3" x14ac:dyDescent="0.3">
      <c r="A34" s="43">
        <f t="shared" si="0"/>
        <v>3.3134353621769563E-4</v>
      </c>
      <c r="B34">
        <f t="shared" si="1"/>
        <v>3.3000000000000016</v>
      </c>
    </row>
    <row r="35" spans="1:3" x14ac:dyDescent="0.3">
      <c r="A35" s="43">
        <f t="shared" si="0"/>
        <v>7.3187262364613815E-5</v>
      </c>
      <c r="B35">
        <f t="shared" si="1"/>
        <v>3.4000000000000017</v>
      </c>
    </row>
    <row r="36" spans="1:3" x14ac:dyDescent="0.3">
      <c r="A36" s="43">
        <f t="shared" si="0"/>
        <v>1.3906326581749635E-5</v>
      </c>
      <c r="B36">
        <f t="shared" si="1"/>
        <v>3.5000000000000018</v>
      </c>
    </row>
    <row r="37" spans="1:3" x14ac:dyDescent="0.3">
      <c r="A37" s="43">
        <f t="shared" si="0"/>
        <v>2.2651805924878014E-6</v>
      </c>
      <c r="B37">
        <f t="shared" si="1"/>
        <v>3.6000000000000019</v>
      </c>
    </row>
    <row r="38" spans="1:3" x14ac:dyDescent="0.3">
      <c r="A38" s="43">
        <f t="shared" si="0"/>
        <v>3.1525808955652779E-7</v>
      </c>
      <c r="B38">
        <f t="shared" si="1"/>
        <v>3.700000000000002</v>
      </c>
    </row>
    <row r="39" spans="1:3" x14ac:dyDescent="0.3">
      <c r="A39" s="43">
        <f t="shared" si="0"/>
        <v>3.7369849515441841E-8</v>
      </c>
      <c r="B39">
        <f t="shared" si="1"/>
        <v>3.800000000000002</v>
      </c>
    </row>
    <row r="40" spans="1:3" x14ac:dyDescent="0.3">
      <c r="A40" s="43">
        <f t="shared" si="0"/>
        <v>3.7613204469883662E-9</v>
      </c>
      <c r="B40">
        <f t="shared" si="1"/>
        <v>3.9000000000000021</v>
      </c>
    </row>
    <row r="41" spans="1:3" x14ac:dyDescent="0.3">
      <c r="A41" s="43">
        <f t="shared" si="0"/>
        <v>3.2051175422316529E-10</v>
      </c>
      <c r="B41">
        <f t="shared" si="1"/>
        <v>4.0000000000000018</v>
      </c>
      <c r="C41" t="s">
        <v>53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1"/>
  <sheetViews>
    <sheetView workbookViewId="0">
      <selection activeCell="A11" sqref="A11"/>
    </sheetView>
  </sheetViews>
  <sheetFormatPr defaultRowHeight="14.4" x14ac:dyDescent="0.3"/>
  <cols>
    <col min="1" max="1" width="12" bestFit="1" customWidth="1"/>
  </cols>
  <sheetData>
    <row r="1" spans="1:3" x14ac:dyDescent="0.3">
      <c r="A1">
        <v>0</v>
      </c>
      <c r="B1">
        <v>0</v>
      </c>
      <c r="C1" t="s">
        <v>78</v>
      </c>
    </row>
    <row r="2" spans="1:3" x14ac:dyDescent="0.3">
      <c r="A2" s="43">
        <f>B2</f>
        <v>0.1</v>
      </c>
      <c r="B2">
        <f>B1+0.1</f>
        <v>0.1</v>
      </c>
    </row>
    <row r="3" spans="1:3" x14ac:dyDescent="0.3">
      <c r="A3" s="43">
        <f t="shared" ref="A3:A10" si="0">B3</f>
        <v>0.2</v>
      </c>
      <c r="B3">
        <f t="shared" ref="B3:B41" si="1">B2+0.1</f>
        <v>0.2</v>
      </c>
    </row>
    <row r="4" spans="1:3" x14ac:dyDescent="0.3">
      <c r="A4" s="43">
        <f t="shared" si="0"/>
        <v>0.30000000000000004</v>
      </c>
      <c r="B4">
        <f t="shared" si="1"/>
        <v>0.30000000000000004</v>
      </c>
    </row>
    <row r="5" spans="1:3" x14ac:dyDescent="0.3">
      <c r="A5" s="43">
        <f t="shared" si="0"/>
        <v>0.4</v>
      </c>
      <c r="B5">
        <f t="shared" si="1"/>
        <v>0.4</v>
      </c>
    </row>
    <row r="6" spans="1:3" x14ac:dyDescent="0.3">
      <c r="A6" s="43">
        <f t="shared" si="0"/>
        <v>0.5</v>
      </c>
      <c r="B6">
        <f t="shared" si="1"/>
        <v>0.5</v>
      </c>
    </row>
    <row r="7" spans="1:3" x14ac:dyDescent="0.3">
      <c r="A7" s="43">
        <f t="shared" si="0"/>
        <v>0.6</v>
      </c>
      <c r="B7">
        <f t="shared" si="1"/>
        <v>0.6</v>
      </c>
    </row>
    <row r="8" spans="1:3" x14ac:dyDescent="0.3">
      <c r="A8" s="43">
        <f t="shared" si="0"/>
        <v>0.7</v>
      </c>
      <c r="B8">
        <f t="shared" si="1"/>
        <v>0.7</v>
      </c>
    </row>
    <row r="9" spans="1:3" x14ac:dyDescent="0.3">
      <c r="A9" s="43">
        <f t="shared" si="0"/>
        <v>0.79999999999999993</v>
      </c>
      <c r="B9">
        <f t="shared" si="1"/>
        <v>0.79999999999999993</v>
      </c>
    </row>
    <row r="10" spans="1:3" x14ac:dyDescent="0.3">
      <c r="A10" s="43">
        <f t="shared" si="0"/>
        <v>0.89999999999999991</v>
      </c>
      <c r="B10">
        <f t="shared" si="1"/>
        <v>0.89999999999999991</v>
      </c>
    </row>
    <row r="11" spans="1:3" x14ac:dyDescent="0.3">
      <c r="A11" s="43">
        <f>-B11+2</f>
        <v>1</v>
      </c>
      <c r="B11">
        <f t="shared" si="1"/>
        <v>0.99999999999999989</v>
      </c>
      <c r="C11" t="s">
        <v>54</v>
      </c>
    </row>
    <row r="12" spans="1:3" x14ac:dyDescent="0.3">
      <c r="A12" s="43">
        <f>-B12+2</f>
        <v>0.90000000000000013</v>
      </c>
      <c r="B12">
        <f t="shared" si="1"/>
        <v>1.0999999999999999</v>
      </c>
    </row>
    <row r="13" spans="1:3" x14ac:dyDescent="0.3">
      <c r="A13" s="43">
        <f t="shared" ref="A13:A30" si="2">-B13+2</f>
        <v>0.8</v>
      </c>
      <c r="B13">
        <f t="shared" si="1"/>
        <v>1.2</v>
      </c>
    </row>
    <row r="14" spans="1:3" x14ac:dyDescent="0.3">
      <c r="A14" s="43">
        <f t="shared" si="2"/>
        <v>0.7</v>
      </c>
      <c r="B14">
        <f t="shared" si="1"/>
        <v>1.3</v>
      </c>
    </row>
    <row r="15" spans="1:3" x14ac:dyDescent="0.3">
      <c r="A15" s="43">
        <f t="shared" si="2"/>
        <v>0.59999999999999987</v>
      </c>
      <c r="B15">
        <f t="shared" si="1"/>
        <v>1.4000000000000001</v>
      </c>
    </row>
    <row r="16" spans="1:3" x14ac:dyDescent="0.3">
      <c r="A16" s="43">
        <f t="shared" si="2"/>
        <v>0.49999999999999978</v>
      </c>
      <c r="B16">
        <f t="shared" si="1"/>
        <v>1.5000000000000002</v>
      </c>
    </row>
    <row r="17" spans="1:3" x14ac:dyDescent="0.3">
      <c r="A17" s="43">
        <f t="shared" si="2"/>
        <v>0.39999999999999969</v>
      </c>
      <c r="B17">
        <f t="shared" si="1"/>
        <v>1.6000000000000003</v>
      </c>
    </row>
    <row r="18" spans="1:3" x14ac:dyDescent="0.3">
      <c r="A18" s="43">
        <f t="shared" si="2"/>
        <v>0.2999999999999996</v>
      </c>
      <c r="B18">
        <f t="shared" si="1"/>
        <v>1.7000000000000004</v>
      </c>
    </row>
    <row r="19" spans="1:3" x14ac:dyDescent="0.3">
      <c r="A19" s="43">
        <f t="shared" si="2"/>
        <v>0.19999999999999951</v>
      </c>
      <c r="B19">
        <f t="shared" si="1"/>
        <v>1.8000000000000005</v>
      </c>
    </row>
    <row r="20" spans="1:3" x14ac:dyDescent="0.3">
      <c r="A20" s="43">
        <f t="shared" si="2"/>
        <v>9.9999999999999423E-2</v>
      </c>
      <c r="B20">
        <f t="shared" si="1"/>
        <v>1.9000000000000006</v>
      </c>
    </row>
    <row r="21" spans="1:3" x14ac:dyDescent="0.3">
      <c r="A21" s="43">
        <f t="shared" si="2"/>
        <v>0</v>
      </c>
      <c r="B21">
        <f t="shared" si="1"/>
        <v>2.0000000000000004</v>
      </c>
      <c r="C21" t="s">
        <v>51</v>
      </c>
    </row>
    <row r="22" spans="1:3" x14ac:dyDescent="0.3">
      <c r="A22" s="43">
        <f t="shared" si="2"/>
        <v>-0.10000000000000053</v>
      </c>
      <c r="B22">
        <f t="shared" si="1"/>
        <v>2.1000000000000005</v>
      </c>
    </row>
    <row r="23" spans="1:3" x14ac:dyDescent="0.3">
      <c r="A23" s="43">
        <f t="shared" si="2"/>
        <v>-0.20000000000000062</v>
      </c>
      <c r="B23">
        <f t="shared" si="1"/>
        <v>2.2000000000000006</v>
      </c>
    </row>
    <row r="24" spans="1:3" x14ac:dyDescent="0.3">
      <c r="A24" s="43">
        <f t="shared" si="2"/>
        <v>-0.30000000000000071</v>
      </c>
      <c r="B24">
        <f t="shared" si="1"/>
        <v>2.3000000000000007</v>
      </c>
    </row>
    <row r="25" spans="1:3" x14ac:dyDescent="0.3">
      <c r="A25" s="43">
        <f t="shared" si="2"/>
        <v>-0.4000000000000008</v>
      </c>
      <c r="B25">
        <f t="shared" si="1"/>
        <v>2.4000000000000008</v>
      </c>
    </row>
    <row r="26" spans="1:3" x14ac:dyDescent="0.3">
      <c r="A26" s="43">
        <f t="shared" si="2"/>
        <v>-0.50000000000000089</v>
      </c>
      <c r="B26">
        <f t="shared" si="1"/>
        <v>2.5000000000000009</v>
      </c>
    </row>
    <row r="27" spans="1:3" x14ac:dyDescent="0.3">
      <c r="A27" s="43">
        <f t="shared" si="2"/>
        <v>-0.60000000000000098</v>
      </c>
      <c r="B27">
        <f t="shared" si="1"/>
        <v>2.600000000000001</v>
      </c>
    </row>
    <row r="28" spans="1:3" x14ac:dyDescent="0.3">
      <c r="A28" s="43">
        <f t="shared" si="2"/>
        <v>-0.70000000000000107</v>
      </c>
      <c r="B28">
        <f t="shared" si="1"/>
        <v>2.7000000000000011</v>
      </c>
    </row>
    <row r="29" spans="1:3" x14ac:dyDescent="0.3">
      <c r="A29" s="43">
        <f t="shared" si="2"/>
        <v>-0.80000000000000115</v>
      </c>
      <c r="B29">
        <f t="shared" si="1"/>
        <v>2.8000000000000012</v>
      </c>
    </row>
    <row r="30" spans="1:3" x14ac:dyDescent="0.3">
      <c r="A30" s="43">
        <f t="shared" si="2"/>
        <v>-0.90000000000000124</v>
      </c>
      <c r="B30">
        <f t="shared" si="1"/>
        <v>2.9000000000000012</v>
      </c>
    </row>
    <row r="31" spans="1:3" x14ac:dyDescent="0.3">
      <c r="A31" s="43">
        <f>B31-4</f>
        <v>-0.99999999999999867</v>
      </c>
      <c r="B31">
        <f t="shared" si="1"/>
        <v>3.0000000000000013</v>
      </c>
      <c r="C31" t="s">
        <v>52</v>
      </c>
    </row>
    <row r="32" spans="1:3" x14ac:dyDescent="0.3">
      <c r="A32" s="43">
        <f t="shared" ref="A32:A41" si="3">B32-4</f>
        <v>-0.89999999999999858</v>
      </c>
      <c r="B32">
        <f t="shared" si="1"/>
        <v>3.1000000000000014</v>
      </c>
    </row>
    <row r="33" spans="1:3" x14ac:dyDescent="0.3">
      <c r="A33" s="43">
        <f t="shared" si="3"/>
        <v>-0.79999999999999849</v>
      </c>
      <c r="B33">
        <f t="shared" si="1"/>
        <v>3.2000000000000015</v>
      </c>
    </row>
    <row r="34" spans="1:3" x14ac:dyDescent="0.3">
      <c r="A34" s="43">
        <f t="shared" si="3"/>
        <v>-0.6999999999999984</v>
      </c>
      <c r="B34">
        <f t="shared" si="1"/>
        <v>3.3000000000000016</v>
      </c>
    </row>
    <row r="35" spans="1:3" x14ac:dyDescent="0.3">
      <c r="A35" s="43">
        <f t="shared" si="3"/>
        <v>-0.59999999999999831</v>
      </c>
      <c r="B35">
        <f t="shared" si="1"/>
        <v>3.4000000000000017</v>
      </c>
    </row>
    <row r="36" spans="1:3" x14ac:dyDescent="0.3">
      <c r="A36" s="43">
        <f t="shared" si="3"/>
        <v>-0.49999999999999822</v>
      </c>
      <c r="B36">
        <f t="shared" si="1"/>
        <v>3.5000000000000018</v>
      </c>
    </row>
    <row r="37" spans="1:3" x14ac:dyDescent="0.3">
      <c r="A37" s="43">
        <f t="shared" si="3"/>
        <v>-0.39999999999999813</v>
      </c>
      <c r="B37">
        <f t="shared" si="1"/>
        <v>3.6000000000000019</v>
      </c>
    </row>
    <row r="38" spans="1:3" x14ac:dyDescent="0.3">
      <c r="A38" s="43">
        <f t="shared" si="3"/>
        <v>-0.29999999999999805</v>
      </c>
      <c r="B38">
        <f t="shared" si="1"/>
        <v>3.700000000000002</v>
      </c>
    </row>
    <row r="39" spans="1:3" x14ac:dyDescent="0.3">
      <c r="A39" s="43">
        <f t="shared" si="3"/>
        <v>-0.19999999999999796</v>
      </c>
      <c r="B39">
        <f t="shared" si="1"/>
        <v>3.800000000000002</v>
      </c>
    </row>
    <row r="40" spans="1:3" x14ac:dyDescent="0.3">
      <c r="A40" s="43">
        <f t="shared" si="3"/>
        <v>-9.9999999999997868E-2</v>
      </c>
      <c r="B40">
        <f t="shared" si="1"/>
        <v>3.9000000000000021</v>
      </c>
    </row>
    <row r="41" spans="1:3" x14ac:dyDescent="0.3">
      <c r="A41" s="43">
        <f t="shared" si="3"/>
        <v>0</v>
      </c>
      <c r="B41">
        <f t="shared" si="1"/>
        <v>4.0000000000000018</v>
      </c>
      <c r="C41" t="s">
        <v>53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4"/>
  <sheetViews>
    <sheetView workbookViewId="0">
      <selection activeCell="B27" sqref="B27"/>
    </sheetView>
  </sheetViews>
  <sheetFormatPr defaultRowHeight="14.4" x14ac:dyDescent="0.3"/>
  <cols>
    <col min="2" max="2" width="10.44140625" customWidth="1"/>
  </cols>
  <sheetData>
    <row r="1" spans="1:15" x14ac:dyDescent="0.3">
      <c r="A1" t="s">
        <v>81</v>
      </c>
      <c r="B1" t="s">
        <v>80</v>
      </c>
      <c r="C1" t="s">
        <v>79</v>
      </c>
    </row>
    <row r="2" spans="1:15" x14ac:dyDescent="0.3">
      <c r="A2">
        <v>0.99500000000000077</v>
      </c>
      <c r="B2">
        <v>1.229396519077818E-2</v>
      </c>
      <c r="C2">
        <v>0.99500000000000077</v>
      </c>
    </row>
    <row r="5" spans="1:15" x14ac:dyDescent="0.3">
      <c r="O5" t="s">
        <v>83</v>
      </c>
    </row>
    <row r="14" spans="1:15" x14ac:dyDescent="0.3">
      <c r="O14" t="s">
        <v>82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G600"/>
  <sheetViews>
    <sheetView workbookViewId="0">
      <selection sqref="A1:XFD1048576"/>
    </sheetView>
  </sheetViews>
  <sheetFormatPr defaultRowHeight="14.4" x14ac:dyDescent="0.3"/>
  <sheetData>
    <row r="2" spans="1:7" x14ac:dyDescent="0.3">
      <c r="A2">
        <v>0.01</v>
      </c>
      <c r="B2">
        <v>0.995</v>
      </c>
      <c r="C2">
        <v>0</v>
      </c>
      <c r="D2">
        <v>0.98999999999991672</v>
      </c>
      <c r="E2">
        <v>1.0000000000083276E-2</v>
      </c>
      <c r="F2" t="s">
        <v>102</v>
      </c>
      <c r="G2" t="s">
        <v>101</v>
      </c>
    </row>
    <row r="3" spans="1:7" x14ac:dyDescent="0.3">
      <c r="A3">
        <v>0.02</v>
      </c>
      <c r="B3">
        <v>0.99</v>
      </c>
      <c r="C3">
        <v>0</v>
      </c>
      <c r="D3">
        <v>0.98999999999991672</v>
      </c>
      <c r="E3">
        <v>1.0000000000083276E-2</v>
      </c>
      <c r="F3" t="s">
        <v>102</v>
      </c>
      <c r="G3" t="s">
        <v>101</v>
      </c>
    </row>
    <row r="4" spans="1:7" x14ac:dyDescent="0.3">
      <c r="A4">
        <v>0.03</v>
      </c>
      <c r="B4">
        <v>0.98499999999999999</v>
      </c>
      <c r="C4">
        <v>0</v>
      </c>
      <c r="D4">
        <v>0.98999999999991672</v>
      </c>
      <c r="E4">
        <v>1.0000000000083276E-2</v>
      </c>
      <c r="F4" t="s">
        <v>102</v>
      </c>
      <c r="G4" t="s">
        <v>101</v>
      </c>
    </row>
    <row r="5" spans="1:7" x14ac:dyDescent="0.3">
      <c r="A5">
        <v>0.04</v>
      </c>
      <c r="B5">
        <v>0.98</v>
      </c>
      <c r="C5">
        <v>0</v>
      </c>
      <c r="D5">
        <v>0.98999999999991672</v>
      </c>
      <c r="E5">
        <v>1.0000000000083276E-2</v>
      </c>
      <c r="F5" t="s">
        <v>102</v>
      </c>
      <c r="G5" t="s">
        <v>101</v>
      </c>
    </row>
    <row r="6" spans="1:7" x14ac:dyDescent="0.3">
      <c r="A6">
        <v>0.05</v>
      </c>
      <c r="B6">
        <v>0.97499999999999998</v>
      </c>
      <c r="C6">
        <v>0</v>
      </c>
      <c r="D6">
        <v>0.98999999999991672</v>
      </c>
      <c r="E6">
        <v>1.0000000000083276E-2</v>
      </c>
      <c r="F6" t="s">
        <v>102</v>
      </c>
      <c r="G6" t="s">
        <v>101</v>
      </c>
    </row>
    <row r="7" spans="1:7" x14ac:dyDescent="0.3">
      <c r="A7">
        <v>6.0000000000000005E-2</v>
      </c>
      <c r="B7">
        <v>0.97</v>
      </c>
      <c r="C7">
        <v>0</v>
      </c>
      <c r="D7">
        <v>0.98999999999991672</v>
      </c>
      <c r="E7">
        <v>1.0000000000083276E-2</v>
      </c>
      <c r="F7" t="s">
        <v>102</v>
      </c>
      <c r="G7" t="s">
        <v>101</v>
      </c>
    </row>
    <row r="8" spans="1:7" x14ac:dyDescent="0.3">
      <c r="A8">
        <v>7.0000000000000007E-2</v>
      </c>
      <c r="B8">
        <v>0.96499999999999997</v>
      </c>
      <c r="C8">
        <v>0</v>
      </c>
      <c r="D8">
        <v>0.98999999999991672</v>
      </c>
      <c r="E8">
        <v>1.0000000000083276E-2</v>
      </c>
      <c r="F8" t="s">
        <v>102</v>
      </c>
      <c r="G8" t="s">
        <v>101</v>
      </c>
    </row>
    <row r="9" spans="1:7" x14ac:dyDescent="0.3">
      <c r="A9">
        <v>0.08</v>
      </c>
      <c r="B9">
        <v>0.96</v>
      </c>
      <c r="C9">
        <v>0</v>
      </c>
      <c r="D9">
        <v>0.98999999999991672</v>
      </c>
      <c r="E9">
        <v>1.0000000000083276E-2</v>
      </c>
      <c r="F9" t="s">
        <v>102</v>
      </c>
      <c r="G9" t="s">
        <v>101</v>
      </c>
    </row>
    <row r="10" spans="1:7" x14ac:dyDescent="0.3">
      <c r="A10">
        <v>0.09</v>
      </c>
      <c r="B10">
        <v>0.95499999999999996</v>
      </c>
      <c r="C10">
        <v>0</v>
      </c>
      <c r="D10">
        <v>0.98999999999991672</v>
      </c>
      <c r="E10">
        <v>1.0000000000083276E-2</v>
      </c>
      <c r="F10" t="s">
        <v>102</v>
      </c>
      <c r="G10" t="s">
        <v>101</v>
      </c>
    </row>
    <row r="11" spans="1:7" x14ac:dyDescent="0.3">
      <c r="A11">
        <v>9.9999999999999992E-2</v>
      </c>
      <c r="B11">
        <v>0.95</v>
      </c>
      <c r="C11">
        <v>0</v>
      </c>
      <c r="D11">
        <v>0.98999999999991672</v>
      </c>
      <c r="E11">
        <v>1.0000000000083276E-2</v>
      </c>
      <c r="F11" t="s">
        <v>102</v>
      </c>
      <c r="G11" t="s">
        <v>101</v>
      </c>
    </row>
    <row r="12" spans="1:7" x14ac:dyDescent="0.3">
      <c r="A12">
        <v>0.10999999999999999</v>
      </c>
      <c r="B12">
        <v>0.94500000000000006</v>
      </c>
      <c r="C12">
        <v>0</v>
      </c>
      <c r="D12">
        <v>0.98999999999991672</v>
      </c>
      <c r="E12">
        <v>1.0000000000083276E-2</v>
      </c>
      <c r="F12" t="s">
        <v>102</v>
      </c>
      <c r="G12" t="s">
        <v>101</v>
      </c>
    </row>
    <row r="13" spans="1:7" x14ac:dyDescent="0.3">
      <c r="A13">
        <v>0.11999999999999998</v>
      </c>
      <c r="B13">
        <v>0.94000000000000006</v>
      </c>
      <c r="C13">
        <v>0</v>
      </c>
      <c r="D13">
        <v>0.98999999999991672</v>
      </c>
      <c r="E13">
        <v>1.0000000000083276E-2</v>
      </c>
      <c r="F13" t="s">
        <v>102</v>
      </c>
      <c r="G13" t="s">
        <v>101</v>
      </c>
    </row>
    <row r="14" spans="1:7" x14ac:dyDescent="0.3">
      <c r="A14">
        <v>0.12999999999999998</v>
      </c>
      <c r="B14">
        <v>0.93500000000000005</v>
      </c>
      <c r="C14">
        <v>0</v>
      </c>
      <c r="D14">
        <v>0.98999999999991672</v>
      </c>
      <c r="E14">
        <v>1.0000000000083276E-2</v>
      </c>
      <c r="F14" t="s">
        <v>102</v>
      </c>
      <c r="G14" t="s">
        <v>101</v>
      </c>
    </row>
    <row r="15" spans="1:7" x14ac:dyDescent="0.3">
      <c r="A15">
        <v>0.13999999999999999</v>
      </c>
      <c r="B15">
        <v>0.93</v>
      </c>
      <c r="C15">
        <v>0</v>
      </c>
      <c r="D15">
        <v>0.98999999999991672</v>
      </c>
      <c r="E15">
        <v>1.0000000000083276E-2</v>
      </c>
      <c r="F15" t="s">
        <v>102</v>
      </c>
      <c r="G15" t="s">
        <v>101</v>
      </c>
    </row>
    <row r="16" spans="1:7" x14ac:dyDescent="0.3">
      <c r="A16">
        <v>0.15</v>
      </c>
      <c r="B16">
        <v>0.92500000000000004</v>
      </c>
      <c r="C16">
        <v>0</v>
      </c>
      <c r="D16">
        <v>0.98999999999991672</v>
      </c>
      <c r="E16">
        <v>1.0000000000083276E-2</v>
      </c>
      <c r="F16" t="s">
        <v>102</v>
      </c>
      <c r="G16" t="s">
        <v>101</v>
      </c>
    </row>
    <row r="17" spans="1:7" x14ac:dyDescent="0.3">
      <c r="A17">
        <v>0.16</v>
      </c>
      <c r="B17">
        <v>0.92</v>
      </c>
      <c r="C17">
        <v>0</v>
      </c>
      <c r="D17">
        <v>0.98999999999991672</v>
      </c>
      <c r="E17">
        <v>1.0000000000083276E-2</v>
      </c>
      <c r="F17" t="s">
        <v>102</v>
      </c>
      <c r="G17" t="s">
        <v>101</v>
      </c>
    </row>
    <row r="18" spans="1:7" x14ac:dyDescent="0.3">
      <c r="A18">
        <v>0.17</v>
      </c>
      <c r="B18">
        <v>0.91500000000000004</v>
      </c>
      <c r="C18">
        <v>0</v>
      </c>
      <c r="D18">
        <v>0.98999999999991672</v>
      </c>
      <c r="E18">
        <v>1.0000000000083276E-2</v>
      </c>
      <c r="F18" t="s">
        <v>102</v>
      </c>
      <c r="G18" t="s">
        <v>101</v>
      </c>
    </row>
    <row r="19" spans="1:7" x14ac:dyDescent="0.3">
      <c r="A19">
        <v>0.18000000000000002</v>
      </c>
      <c r="B19">
        <v>0.91</v>
      </c>
      <c r="C19">
        <v>0</v>
      </c>
      <c r="D19">
        <v>0.98999999999991672</v>
      </c>
      <c r="E19">
        <v>1.0000000000083276E-2</v>
      </c>
      <c r="F19" t="s">
        <v>102</v>
      </c>
      <c r="G19" t="s">
        <v>101</v>
      </c>
    </row>
    <row r="20" spans="1:7" x14ac:dyDescent="0.3">
      <c r="A20">
        <v>0.19000000000000003</v>
      </c>
      <c r="B20">
        <v>0.90500000000000003</v>
      </c>
      <c r="C20">
        <v>0</v>
      </c>
      <c r="D20">
        <v>0.98999999999991672</v>
      </c>
      <c r="E20">
        <v>1.0000000000083276E-2</v>
      </c>
      <c r="F20" t="s">
        <v>102</v>
      </c>
      <c r="G20" t="s">
        <v>101</v>
      </c>
    </row>
    <row r="21" spans="1:7" x14ac:dyDescent="0.3">
      <c r="A21">
        <v>0.20000000000000004</v>
      </c>
      <c r="B21">
        <v>0.9</v>
      </c>
      <c r="C21">
        <v>0</v>
      </c>
      <c r="D21">
        <v>0.98999999999991672</v>
      </c>
      <c r="E21">
        <v>1.0000000000083276E-2</v>
      </c>
      <c r="F21" t="s">
        <v>102</v>
      </c>
      <c r="G21" t="s">
        <v>101</v>
      </c>
    </row>
    <row r="22" spans="1:7" x14ac:dyDescent="0.3">
      <c r="A22">
        <v>0.21000000000000005</v>
      </c>
      <c r="B22">
        <v>0.89500000000000002</v>
      </c>
      <c r="C22">
        <v>0</v>
      </c>
      <c r="D22">
        <v>0.98999999999991672</v>
      </c>
      <c r="E22">
        <v>1.0000000000083276E-2</v>
      </c>
      <c r="F22" t="s">
        <v>102</v>
      </c>
      <c r="G22" t="s">
        <v>101</v>
      </c>
    </row>
    <row r="23" spans="1:7" x14ac:dyDescent="0.3">
      <c r="A23">
        <v>0.22000000000000006</v>
      </c>
      <c r="B23">
        <v>0.89</v>
      </c>
      <c r="C23">
        <v>0</v>
      </c>
      <c r="D23">
        <v>0.98999999999991672</v>
      </c>
      <c r="E23">
        <v>1.0000000000083276E-2</v>
      </c>
      <c r="F23" t="s">
        <v>102</v>
      </c>
      <c r="G23" t="s">
        <v>101</v>
      </c>
    </row>
    <row r="24" spans="1:7" x14ac:dyDescent="0.3">
      <c r="A24">
        <v>0.23000000000000007</v>
      </c>
      <c r="B24">
        <v>0.88500000000000001</v>
      </c>
      <c r="C24">
        <v>0</v>
      </c>
      <c r="D24">
        <v>0.98999999999991672</v>
      </c>
      <c r="E24">
        <v>1.0000000000083276E-2</v>
      </c>
      <c r="F24" t="s">
        <v>102</v>
      </c>
      <c r="G24" t="s">
        <v>101</v>
      </c>
    </row>
    <row r="25" spans="1:7" x14ac:dyDescent="0.3">
      <c r="A25">
        <v>0.24000000000000007</v>
      </c>
      <c r="B25">
        <v>0.88</v>
      </c>
      <c r="C25">
        <v>0</v>
      </c>
      <c r="D25">
        <v>0.98999999999991672</v>
      </c>
      <c r="E25">
        <v>1.0000000000083276E-2</v>
      </c>
      <c r="F25" t="s">
        <v>102</v>
      </c>
      <c r="G25" t="s">
        <v>101</v>
      </c>
    </row>
    <row r="26" spans="1:7" x14ac:dyDescent="0.3">
      <c r="A26">
        <v>0.25000000000000006</v>
      </c>
      <c r="B26">
        <v>0.875</v>
      </c>
      <c r="C26">
        <v>0</v>
      </c>
      <c r="D26">
        <v>0.98999999999991672</v>
      </c>
      <c r="E26">
        <v>1.0000000000083276E-2</v>
      </c>
      <c r="F26" t="s">
        <v>102</v>
      </c>
      <c r="G26" t="s">
        <v>101</v>
      </c>
    </row>
    <row r="27" spans="1:7" x14ac:dyDescent="0.3">
      <c r="A27">
        <v>0.26000000000000006</v>
      </c>
      <c r="B27">
        <v>0.87</v>
      </c>
      <c r="C27">
        <v>0</v>
      </c>
      <c r="D27">
        <v>0.98999999999991672</v>
      </c>
      <c r="E27">
        <v>1.0000000000083276E-2</v>
      </c>
      <c r="F27" t="s">
        <v>102</v>
      </c>
      <c r="G27" t="s">
        <v>101</v>
      </c>
    </row>
    <row r="28" spans="1:7" x14ac:dyDescent="0.3">
      <c r="A28">
        <v>0.27000000000000007</v>
      </c>
      <c r="B28">
        <v>0.86499999999999999</v>
      </c>
      <c r="C28">
        <v>0</v>
      </c>
      <c r="D28">
        <v>0.98999999999991672</v>
      </c>
      <c r="E28">
        <v>1.0000000000083276E-2</v>
      </c>
      <c r="F28" t="s">
        <v>102</v>
      </c>
      <c r="G28" t="s">
        <v>101</v>
      </c>
    </row>
    <row r="29" spans="1:7" x14ac:dyDescent="0.3">
      <c r="A29">
        <v>0.28000000000000008</v>
      </c>
      <c r="B29">
        <v>0.86</v>
      </c>
      <c r="C29">
        <v>0</v>
      </c>
      <c r="D29">
        <v>0.98999999999991672</v>
      </c>
      <c r="E29">
        <v>1.0000000000083276E-2</v>
      </c>
      <c r="F29" t="s">
        <v>102</v>
      </c>
      <c r="G29" t="s">
        <v>101</v>
      </c>
    </row>
    <row r="30" spans="1:7" x14ac:dyDescent="0.3">
      <c r="A30">
        <v>0.29000000000000009</v>
      </c>
      <c r="B30">
        <v>0.85499999999999998</v>
      </c>
      <c r="C30">
        <v>0</v>
      </c>
      <c r="D30">
        <v>0.98999999999991672</v>
      </c>
      <c r="E30">
        <v>1.0000000000083276E-2</v>
      </c>
      <c r="F30" t="s">
        <v>102</v>
      </c>
      <c r="G30" t="s">
        <v>101</v>
      </c>
    </row>
    <row r="31" spans="1:7" x14ac:dyDescent="0.3">
      <c r="A31">
        <v>0.3000000000000001</v>
      </c>
      <c r="B31">
        <v>0.85</v>
      </c>
      <c r="C31">
        <v>0</v>
      </c>
      <c r="D31">
        <v>0.98999999999991672</v>
      </c>
      <c r="E31">
        <v>1.0000000000083276E-2</v>
      </c>
      <c r="F31" t="s">
        <v>102</v>
      </c>
      <c r="G31" t="s">
        <v>101</v>
      </c>
    </row>
    <row r="32" spans="1:7" x14ac:dyDescent="0.3">
      <c r="A32">
        <v>0.31000000000000011</v>
      </c>
      <c r="B32">
        <v>0.84499999999999997</v>
      </c>
      <c r="C32">
        <v>0</v>
      </c>
      <c r="D32">
        <v>0.98999999999991672</v>
      </c>
      <c r="E32">
        <v>1.0000000000083276E-2</v>
      </c>
      <c r="F32" t="s">
        <v>102</v>
      </c>
      <c r="G32" t="s">
        <v>101</v>
      </c>
    </row>
    <row r="33" spans="1:7" x14ac:dyDescent="0.3">
      <c r="A33">
        <v>0.32000000000000012</v>
      </c>
      <c r="B33">
        <v>0.84</v>
      </c>
      <c r="C33">
        <v>0</v>
      </c>
      <c r="D33">
        <v>0.98999999999991672</v>
      </c>
      <c r="E33">
        <v>1.0000000000083276E-2</v>
      </c>
      <c r="F33" t="s">
        <v>102</v>
      </c>
      <c r="G33" t="s">
        <v>101</v>
      </c>
    </row>
    <row r="34" spans="1:7" x14ac:dyDescent="0.3">
      <c r="A34">
        <v>0.33000000000000013</v>
      </c>
      <c r="B34">
        <v>0.83499999999999996</v>
      </c>
      <c r="C34">
        <v>0</v>
      </c>
      <c r="D34">
        <v>0.98999999999991672</v>
      </c>
      <c r="E34">
        <v>1.0000000000083276E-2</v>
      </c>
      <c r="F34" t="s">
        <v>102</v>
      </c>
      <c r="G34" t="s">
        <v>101</v>
      </c>
    </row>
    <row r="35" spans="1:7" x14ac:dyDescent="0.3">
      <c r="A35">
        <v>0.34000000000000014</v>
      </c>
      <c r="B35">
        <v>0.83</v>
      </c>
      <c r="C35">
        <v>0</v>
      </c>
      <c r="D35">
        <v>0.98999999999991672</v>
      </c>
      <c r="E35">
        <v>1.0000000000083276E-2</v>
      </c>
      <c r="F35" t="s">
        <v>102</v>
      </c>
      <c r="G35" t="s">
        <v>101</v>
      </c>
    </row>
    <row r="36" spans="1:7" x14ac:dyDescent="0.3">
      <c r="A36">
        <v>0.35000000000000014</v>
      </c>
      <c r="B36">
        <v>0.82499999999999996</v>
      </c>
      <c r="C36">
        <v>0</v>
      </c>
      <c r="D36">
        <v>0.98999999999991672</v>
      </c>
      <c r="E36">
        <v>1.0000000000083276E-2</v>
      </c>
      <c r="F36" t="s">
        <v>102</v>
      </c>
      <c r="G36" t="s">
        <v>101</v>
      </c>
    </row>
    <row r="37" spans="1:7" x14ac:dyDescent="0.3">
      <c r="A37">
        <v>0.36000000000000015</v>
      </c>
      <c r="B37">
        <v>0.82</v>
      </c>
      <c r="C37">
        <v>0</v>
      </c>
      <c r="D37">
        <v>0.98999999999991672</v>
      </c>
      <c r="E37">
        <v>1.0000000000083276E-2</v>
      </c>
      <c r="F37" t="s">
        <v>102</v>
      </c>
      <c r="G37" t="s">
        <v>101</v>
      </c>
    </row>
    <row r="38" spans="1:7" x14ac:dyDescent="0.3">
      <c r="A38">
        <v>0.37000000000000016</v>
      </c>
      <c r="B38">
        <v>0.81499999999999995</v>
      </c>
      <c r="C38">
        <v>0</v>
      </c>
      <c r="D38">
        <v>0.98999999999991672</v>
      </c>
      <c r="E38">
        <v>1.0000000000083276E-2</v>
      </c>
      <c r="F38" t="s">
        <v>102</v>
      </c>
      <c r="G38" t="s">
        <v>101</v>
      </c>
    </row>
    <row r="39" spans="1:7" x14ac:dyDescent="0.3">
      <c r="A39">
        <v>0.38000000000000017</v>
      </c>
      <c r="B39">
        <v>0.80999999999999994</v>
      </c>
      <c r="C39">
        <v>0</v>
      </c>
      <c r="D39">
        <v>0.98999999999991672</v>
      </c>
      <c r="E39">
        <v>1.0000000000083276E-2</v>
      </c>
      <c r="F39" t="s">
        <v>102</v>
      </c>
      <c r="G39" t="s">
        <v>101</v>
      </c>
    </row>
    <row r="40" spans="1:7" x14ac:dyDescent="0.3">
      <c r="A40">
        <v>0.39000000000000018</v>
      </c>
      <c r="B40">
        <v>0.80499999999999994</v>
      </c>
      <c r="C40">
        <v>0</v>
      </c>
      <c r="D40">
        <v>0.98999999999991672</v>
      </c>
      <c r="E40">
        <v>1.0000000000083276E-2</v>
      </c>
      <c r="F40" t="s">
        <v>102</v>
      </c>
      <c r="G40" t="s">
        <v>101</v>
      </c>
    </row>
    <row r="41" spans="1:7" x14ac:dyDescent="0.3">
      <c r="A41">
        <v>0.40000000000000019</v>
      </c>
      <c r="B41">
        <v>0.79999999999999993</v>
      </c>
      <c r="C41">
        <v>0</v>
      </c>
      <c r="D41">
        <v>0.98999999999991672</v>
      </c>
      <c r="E41">
        <v>1.0000000000083276E-2</v>
      </c>
      <c r="F41" t="s">
        <v>102</v>
      </c>
      <c r="G41" t="s">
        <v>101</v>
      </c>
    </row>
    <row r="42" spans="1:7" x14ac:dyDescent="0.3">
      <c r="A42">
        <v>0.4100000000000002</v>
      </c>
      <c r="B42">
        <v>0.79499999999999993</v>
      </c>
      <c r="C42">
        <v>0</v>
      </c>
      <c r="D42">
        <v>0.98999999999991672</v>
      </c>
      <c r="E42">
        <v>1.0000000000083276E-2</v>
      </c>
      <c r="F42" t="s">
        <v>102</v>
      </c>
      <c r="G42" t="s">
        <v>101</v>
      </c>
    </row>
    <row r="43" spans="1:7" x14ac:dyDescent="0.3">
      <c r="A43">
        <v>0.42000000000000021</v>
      </c>
      <c r="B43">
        <v>0.78999999999999992</v>
      </c>
      <c r="C43">
        <v>0</v>
      </c>
      <c r="D43">
        <v>0.98999999999991672</v>
      </c>
      <c r="E43">
        <v>1.0000000000083276E-2</v>
      </c>
      <c r="F43" t="s">
        <v>102</v>
      </c>
      <c r="G43" t="s">
        <v>101</v>
      </c>
    </row>
    <row r="44" spans="1:7" x14ac:dyDescent="0.3">
      <c r="A44">
        <v>0.43000000000000022</v>
      </c>
      <c r="B44">
        <v>0.78499999999999992</v>
      </c>
      <c r="C44">
        <v>0</v>
      </c>
      <c r="D44">
        <v>0.98999999999991672</v>
      </c>
      <c r="E44">
        <v>1.0000000000083276E-2</v>
      </c>
      <c r="F44" t="s">
        <v>102</v>
      </c>
      <c r="G44" t="s">
        <v>101</v>
      </c>
    </row>
    <row r="45" spans="1:7" x14ac:dyDescent="0.3">
      <c r="A45">
        <v>0.44000000000000022</v>
      </c>
      <c r="B45">
        <v>0.77999999999999992</v>
      </c>
      <c r="C45">
        <v>0</v>
      </c>
      <c r="D45">
        <v>0.98999999999991672</v>
      </c>
      <c r="E45">
        <v>1.0000000000083276E-2</v>
      </c>
      <c r="F45" t="s">
        <v>102</v>
      </c>
      <c r="G45" t="s">
        <v>101</v>
      </c>
    </row>
    <row r="46" spans="1:7" x14ac:dyDescent="0.3">
      <c r="A46">
        <v>0.45000000000000023</v>
      </c>
      <c r="B46">
        <v>0.77499999999999991</v>
      </c>
      <c r="C46">
        <v>0</v>
      </c>
      <c r="D46">
        <v>0.98999999999991672</v>
      </c>
      <c r="E46">
        <v>1.0000000000083276E-2</v>
      </c>
      <c r="F46" t="s">
        <v>102</v>
      </c>
      <c r="G46" t="s">
        <v>101</v>
      </c>
    </row>
    <row r="47" spans="1:7" x14ac:dyDescent="0.3">
      <c r="A47">
        <v>0.46000000000000024</v>
      </c>
      <c r="B47">
        <v>0.76999999999999991</v>
      </c>
      <c r="C47">
        <v>0</v>
      </c>
      <c r="D47">
        <v>0.98999999999991672</v>
      </c>
      <c r="E47">
        <v>1.0000000000083276E-2</v>
      </c>
      <c r="F47" t="s">
        <v>102</v>
      </c>
      <c r="G47" t="s">
        <v>101</v>
      </c>
    </row>
    <row r="48" spans="1:7" x14ac:dyDescent="0.3">
      <c r="A48">
        <v>0.47000000000000025</v>
      </c>
      <c r="B48">
        <v>0.7649999999999999</v>
      </c>
      <c r="C48">
        <v>0</v>
      </c>
      <c r="D48">
        <v>0.98999999999991672</v>
      </c>
      <c r="E48">
        <v>1.0000000000083276E-2</v>
      </c>
      <c r="F48" t="s">
        <v>102</v>
      </c>
      <c r="G48" t="s">
        <v>101</v>
      </c>
    </row>
    <row r="49" spans="1:7" x14ac:dyDescent="0.3">
      <c r="A49">
        <v>0.48000000000000026</v>
      </c>
      <c r="B49">
        <v>0.7599999999999999</v>
      </c>
      <c r="C49">
        <v>0</v>
      </c>
      <c r="D49">
        <v>0.98999999999991672</v>
      </c>
      <c r="E49">
        <v>1.0000000000083276E-2</v>
      </c>
      <c r="F49" t="s">
        <v>102</v>
      </c>
      <c r="G49" t="s">
        <v>101</v>
      </c>
    </row>
    <row r="50" spans="1:7" x14ac:dyDescent="0.3">
      <c r="A50">
        <v>0.49000000000000027</v>
      </c>
      <c r="B50">
        <v>0.75499999999999989</v>
      </c>
      <c r="C50">
        <v>0</v>
      </c>
      <c r="D50">
        <v>0.98999999999991672</v>
      </c>
      <c r="E50">
        <v>1.0000000000083276E-2</v>
      </c>
      <c r="F50" t="s">
        <v>102</v>
      </c>
      <c r="G50" t="s">
        <v>101</v>
      </c>
    </row>
    <row r="51" spans="1:7" x14ac:dyDescent="0.3">
      <c r="A51">
        <v>0.50000000000000022</v>
      </c>
      <c r="B51">
        <v>0.74999999999999989</v>
      </c>
      <c r="C51">
        <v>0</v>
      </c>
      <c r="D51">
        <v>0.98999999999991672</v>
      </c>
      <c r="E51">
        <v>1.0000000000083276E-2</v>
      </c>
      <c r="F51" t="s">
        <v>102</v>
      </c>
      <c r="G51" t="s">
        <v>101</v>
      </c>
    </row>
    <row r="52" spans="1:7" x14ac:dyDescent="0.3">
      <c r="A52">
        <v>0.51000000000000023</v>
      </c>
      <c r="B52">
        <v>0.74499999999999988</v>
      </c>
      <c r="C52">
        <v>0</v>
      </c>
      <c r="D52">
        <v>0.98999999999991672</v>
      </c>
      <c r="E52">
        <v>1.0000000000083276E-2</v>
      </c>
      <c r="F52" t="s">
        <v>102</v>
      </c>
      <c r="G52" t="s">
        <v>101</v>
      </c>
    </row>
    <row r="53" spans="1:7" x14ac:dyDescent="0.3">
      <c r="A53">
        <v>0.52000000000000024</v>
      </c>
      <c r="B53">
        <v>0.73999999999999988</v>
      </c>
      <c r="C53">
        <v>0</v>
      </c>
      <c r="D53">
        <v>0.98999999999991672</v>
      </c>
      <c r="E53">
        <v>1.0000000000083276E-2</v>
      </c>
      <c r="F53" t="s">
        <v>102</v>
      </c>
      <c r="G53" t="s">
        <v>101</v>
      </c>
    </row>
    <row r="54" spans="1:7" x14ac:dyDescent="0.3">
      <c r="A54">
        <v>0.53000000000000025</v>
      </c>
      <c r="B54">
        <v>0.73499999999999988</v>
      </c>
      <c r="C54">
        <v>0</v>
      </c>
      <c r="D54">
        <v>0.98999999999991672</v>
      </c>
      <c r="E54">
        <v>1.0000000000083276E-2</v>
      </c>
      <c r="F54" t="s">
        <v>102</v>
      </c>
      <c r="G54" t="s">
        <v>101</v>
      </c>
    </row>
    <row r="55" spans="1:7" x14ac:dyDescent="0.3">
      <c r="A55">
        <v>0.54000000000000026</v>
      </c>
      <c r="B55">
        <v>0.72999999999999987</v>
      </c>
      <c r="C55">
        <v>0</v>
      </c>
      <c r="D55">
        <v>0.98999999999991672</v>
      </c>
      <c r="E55">
        <v>1.0000000000083276E-2</v>
      </c>
      <c r="F55" t="s">
        <v>102</v>
      </c>
      <c r="G55" t="s">
        <v>101</v>
      </c>
    </row>
    <row r="56" spans="1:7" x14ac:dyDescent="0.3">
      <c r="A56">
        <v>0.55000000000000027</v>
      </c>
      <c r="B56">
        <v>0.72499999999999987</v>
      </c>
      <c r="C56">
        <v>0</v>
      </c>
      <c r="D56">
        <v>0.98999999999991672</v>
      </c>
      <c r="E56">
        <v>1.0000000000083276E-2</v>
      </c>
      <c r="F56" t="s">
        <v>102</v>
      </c>
      <c r="G56" t="s">
        <v>101</v>
      </c>
    </row>
    <row r="57" spans="1:7" x14ac:dyDescent="0.3">
      <c r="A57">
        <v>0.56000000000000028</v>
      </c>
      <c r="B57">
        <v>0.71999999999999986</v>
      </c>
      <c r="C57">
        <v>0</v>
      </c>
      <c r="D57">
        <v>0.98999999999991672</v>
      </c>
      <c r="E57">
        <v>1.0000000000083276E-2</v>
      </c>
      <c r="F57" t="s">
        <v>102</v>
      </c>
      <c r="G57" t="s">
        <v>101</v>
      </c>
    </row>
    <row r="58" spans="1:7" x14ac:dyDescent="0.3">
      <c r="A58">
        <v>0.57000000000000028</v>
      </c>
      <c r="B58">
        <v>0.71499999999999986</v>
      </c>
      <c r="C58">
        <v>0</v>
      </c>
      <c r="D58">
        <v>0.98999999999991672</v>
      </c>
      <c r="E58">
        <v>1.0000000000083276E-2</v>
      </c>
      <c r="F58" t="s">
        <v>102</v>
      </c>
      <c r="G58" t="s">
        <v>101</v>
      </c>
    </row>
    <row r="59" spans="1:7" x14ac:dyDescent="0.3">
      <c r="A59">
        <v>0.58000000000000029</v>
      </c>
      <c r="B59">
        <v>0.70999999999999985</v>
      </c>
      <c r="C59">
        <v>0</v>
      </c>
      <c r="D59">
        <v>0.98999999999991672</v>
      </c>
      <c r="E59">
        <v>1.0000000000083276E-2</v>
      </c>
      <c r="F59" t="s">
        <v>102</v>
      </c>
      <c r="G59" t="s">
        <v>101</v>
      </c>
    </row>
    <row r="60" spans="1:7" x14ac:dyDescent="0.3">
      <c r="A60">
        <v>0.5900000000000003</v>
      </c>
      <c r="B60">
        <v>0.70499999999999985</v>
      </c>
      <c r="C60">
        <v>0</v>
      </c>
      <c r="D60">
        <v>0.98999999999991672</v>
      </c>
      <c r="E60">
        <v>1.0000000000083276E-2</v>
      </c>
      <c r="F60" t="s">
        <v>102</v>
      </c>
      <c r="G60" t="s">
        <v>101</v>
      </c>
    </row>
    <row r="61" spans="1:7" x14ac:dyDescent="0.3">
      <c r="A61">
        <v>0.60000000000000031</v>
      </c>
      <c r="B61">
        <v>0.69999999999999984</v>
      </c>
      <c r="C61">
        <v>0</v>
      </c>
      <c r="D61">
        <v>0.98999999999991672</v>
      </c>
      <c r="E61">
        <v>1.0000000000083276E-2</v>
      </c>
      <c r="F61" t="s">
        <v>102</v>
      </c>
      <c r="G61" t="s">
        <v>101</v>
      </c>
    </row>
    <row r="62" spans="1:7" x14ac:dyDescent="0.3">
      <c r="A62">
        <v>0.61000000000000032</v>
      </c>
      <c r="B62">
        <v>0.69499999999999984</v>
      </c>
      <c r="C62">
        <v>0</v>
      </c>
      <c r="D62">
        <v>0.98999999999991672</v>
      </c>
      <c r="E62">
        <v>1.0000000000083276E-2</v>
      </c>
      <c r="F62" t="s">
        <v>102</v>
      </c>
      <c r="G62" t="s">
        <v>101</v>
      </c>
    </row>
    <row r="63" spans="1:7" x14ac:dyDescent="0.3">
      <c r="A63">
        <v>0.62000000000000033</v>
      </c>
      <c r="B63">
        <v>0.68999999999999984</v>
      </c>
      <c r="C63">
        <v>0</v>
      </c>
      <c r="D63">
        <v>0.98999999999991672</v>
      </c>
      <c r="E63">
        <v>1.0000000000083276E-2</v>
      </c>
      <c r="F63" t="s">
        <v>102</v>
      </c>
      <c r="G63" t="s">
        <v>101</v>
      </c>
    </row>
    <row r="64" spans="1:7" x14ac:dyDescent="0.3">
      <c r="A64">
        <v>0.63000000000000034</v>
      </c>
      <c r="B64">
        <v>0.68499999999999983</v>
      </c>
      <c r="C64">
        <v>0</v>
      </c>
      <c r="D64">
        <v>0.98999999999991672</v>
      </c>
      <c r="E64">
        <v>1.0000000000083276E-2</v>
      </c>
      <c r="F64" t="s">
        <v>102</v>
      </c>
      <c r="G64" t="s">
        <v>101</v>
      </c>
    </row>
    <row r="65" spans="1:7" x14ac:dyDescent="0.3">
      <c r="A65">
        <v>0.64000000000000035</v>
      </c>
      <c r="B65">
        <v>0.67999999999999983</v>
      </c>
      <c r="C65">
        <v>0</v>
      </c>
      <c r="D65">
        <v>0.98999999999991672</v>
      </c>
      <c r="E65">
        <v>1.0000000000083276E-2</v>
      </c>
      <c r="F65" t="s">
        <v>102</v>
      </c>
      <c r="G65" t="s">
        <v>101</v>
      </c>
    </row>
    <row r="66" spans="1:7" x14ac:dyDescent="0.3">
      <c r="A66">
        <v>0.65000000000000036</v>
      </c>
      <c r="B66">
        <v>0.67499999999999982</v>
      </c>
      <c r="C66">
        <v>0</v>
      </c>
      <c r="D66">
        <v>0.98999999999991672</v>
      </c>
      <c r="E66">
        <v>1.0000000000083276E-2</v>
      </c>
      <c r="F66" t="s">
        <v>102</v>
      </c>
      <c r="G66" t="s">
        <v>101</v>
      </c>
    </row>
    <row r="67" spans="1:7" x14ac:dyDescent="0.3">
      <c r="A67">
        <v>0.66000000000000036</v>
      </c>
      <c r="B67">
        <v>0.66999999999999982</v>
      </c>
      <c r="C67">
        <v>0</v>
      </c>
      <c r="D67">
        <v>0.98999999999991672</v>
      </c>
      <c r="E67">
        <v>1.0000000000083276E-2</v>
      </c>
      <c r="F67" t="s">
        <v>102</v>
      </c>
      <c r="G67" t="s">
        <v>101</v>
      </c>
    </row>
    <row r="68" spans="1:7" x14ac:dyDescent="0.3">
      <c r="A68">
        <v>0.67000000000000037</v>
      </c>
      <c r="B68">
        <v>0.66499999999999981</v>
      </c>
      <c r="C68">
        <v>0</v>
      </c>
      <c r="D68">
        <v>0.98999999999991672</v>
      </c>
      <c r="E68">
        <v>1.0000000000083276E-2</v>
      </c>
      <c r="F68" t="s">
        <v>102</v>
      </c>
      <c r="G68" t="s">
        <v>101</v>
      </c>
    </row>
    <row r="69" spans="1:7" x14ac:dyDescent="0.3">
      <c r="A69">
        <v>0.68000000000000038</v>
      </c>
      <c r="B69">
        <v>0.65999999999999981</v>
      </c>
      <c r="C69">
        <v>0</v>
      </c>
      <c r="D69">
        <v>0.98999999999991672</v>
      </c>
      <c r="E69">
        <v>1.0000000000083276E-2</v>
      </c>
      <c r="F69" t="s">
        <v>102</v>
      </c>
      <c r="G69" t="s">
        <v>101</v>
      </c>
    </row>
    <row r="70" spans="1:7" x14ac:dyDescent="0.3">
      <c r="A70">
        <v>0.69000000000000039</v>
      </c>
      <c r="B70">
        <v>0.6549999999999998</v>
      </c>
      <c r="C70">
        <v>0</v>
      </c>
      <c r="D70">
        <v>0.98999999999991672</v>
      </c>
      <c r="E70">
        <v>1.0000000000083276E-2</v>
      </c>
      <c r="F70" t="s">
        <v>102</v>
      </c>
      <c r="G70" t="s">
        <v>101</v>
      </c>
    </row>
    <row r="71" spans="1:7" x14ac:dyDescent="0.3">
      <c r="A71">
        <v>0.7000000000000004</v>
      </c>
      <c r="B71">
        <v>0.6499999999999998</v>
      </c>
      <c r="C71">
        <v>0</v>
      </c>
      <c r="D71">
        <v>0.98999999999991672</v>
      </c>
      <c r="E71">
        <v>1.0000000000083276E-2</v>
      </c>
      <c r="F71" t="s">
        <v>102</v>
      </c>
      <c r="G71" t="s">
        <v>101</v>
      </c>
    </row>
    <row r="72" spans="1:7" x14ac:dyDescent="0.3">
      <c r="A72">
        <v>0.71000000000000041</v>
      </c>
      <c r="B72">
        <v>0.6449999999999998</v>
      </c>
      <c r="C72">
        <v>0</v>
      </c>
      <c r="D72">
        <v>0.98999999999991672</v>
      </c>
      <c r="E72">
        <v>1.0000000000083276E-2</v>
      </c>
      <c r="F72" t="s">
        <v>102</v>
      </c>
      <c r="G72" t="s">
        <v>101</v>
      </c>
    </row>
    <row r="73" spans="1:7" x14ac:dyDescent="0.3">
      <c r="A73">
        <v>0.72000000000000042</v>
      </c>
      <c r="B73">
        <v>0.63999999999999979</v>
      </c>
      <c r="C73">
        <v>0</v>
      </c>
      <c r="D73">
        <v>0.98999999999991672</v>
      </c>
      <c r="E73">
        <v>1.0000000000083276E-2</v>
      </c>
      <c r="F73" t="s">
        <v>102</v>
      </c>
      <c r="G73" t="s">
        <v>101</v>
      </c>
    </row>
    <row r="74" spans="1:7" x14ac:dyDescent="0.3">
      <c r="A74">
        <v>0.73000000000000043</v>
      </c>
      <c r="B74">
        <v>0.63499999999999979</v>
      </c>
      <c r="C74">
        <v>0</v>
      </c>
      <c r="D74">
        <v>0.98999999999991672</v>
      </c>
      <c r="E74">
        <v>1.0000000000083276E-2</v>
      </c>
      <c r="F74" t="s">
        <v>102</v>
      </c>
      <c r="G74" t="s">
        <v>101</v>
      </c>
    </row>
    <row r="75" spans="1:7" x14ac:dyDescent="0.3">
      <c r="A75">
        <v>0.74000000000000044</v>
      </c>
      <c r="B75">
        <v>0.62999999999999978</v>
      </c>
      <c r="C75">
        <v>0</v>
      </c>
      <c r="D75">
        <v>0.98999999999991672</v>
      </c>
      <c r="E75">
        <v>1.0000000000083276E-2</v>
      </c>
      <c r="F75" t="s">
        <v>102</v>
      </c>
      <c r="G75" t="s">
        <v>101</v>
      </c>
    </row>
    <row r="76" spans="1:7" x14ac:dyDescent="0.3">
      <c r="A76">
        <v>0.75000000000000044</v>
      </c>
      <c r="B76">
        <v>0.62499999999999978</v>
      </c>
      <c r="C76">
        <v>0</v>
      </c>
      <c r="D76">
        <v>0.98999999999991672</v>
      </c>
      <c r="E76">
        <v>1.0000000000083276E-2</v>
      </c>
      <c r="F76" t="s">
        <v>102</v>
      </c>
      <c r="G76" t="s">
        <v>101</v>
      </c>
    </row>
    <row r="77" spans="1:7" x14ac:dyDescent="0.3">
      <c r="A77">
        <v>0.76000000000000045</v>
      </c>
      <c r="B77">
        <v>0.61999999999999977</v>
      </c>
      <c r="C77">
        <v>0</v>
      </c>
      <c r="D77">
        <v>0.98999999999991672</v>
      </c>
      <c r="E77">
        <v>1.0000000000083276E-2</v>
      </c>
      <c r="F77" t="s">
        <v>102</v>
      </c>
      <c r="G77" t="s">
        <v>101</v>
      </c>
    </row>
    <row r="78" spans="1:7" x14ac:dyDescent="0.3">
      <c r="A78">
        <v>0.77000000000000046</v>
      </c>
      <c r="B78">
        <v>0.61499999999999977</v>
      </c>
      <c r="C78">
        <v>0</v>
      </c>
      <c r="D78">
        <v>0.98999999999991672</v>
      </c>
      <c r="E78">
        <v>1.0000000000083276E-2</v>
      </c>
      <c r="F78" t="s">
        <v>102</v>
      </c>
      <c r="G78" t="s">
        <v>101</v>
      </c>
    </row>
    <row r="79" spans="1:7" x14ac:dyDescent="0.3">
      <c r="A79">
        <v>0.78000000000000047</v>
      </c>
      <c r="B79">
        <v>0.60999999999999976</v>
      </c>
      <c r="C79">
        <v>0</v>
      </c>
      <c r="D79">
        <v>0.98999999999991672</v>
      </c>
      <c r="E79">
        <v>1.0000000000083276E-2</v>
      </c>
      <c r="F79" t="s">
        <v>102</v>
      </c>
      <c r="G79" t="s">
        <v>101</v>
      </c>
    </row>
    <row r="80" spans="1:7" x14ac:dyDescent="0.3">
      <c r="A80">
        <v>0.79000000000000048</v>
      </c>
      <c r="B80">
        <v>0.60499999999999976</v>
      </c>
      <c r="C80">
        <v>0</v>
      </c>
      <c r="D80">
        <v>0.98999999999991672</v>
      </c>
      <c r="E80">
        <v>1.0000000000083276E-2</v>
      </c>
      <c r="F80" t="s">
        <v>102</v>
      </c>
      <c r="G80" t="s">
        <v>101</v>
      </c>
    </row>
    <row r="81" spans="1:7" x14ac:dyDescent="0.3">
      <c r="A81">
        <v>0.80000000000000049</v>
      </c>
      <c r="B81">
        <v>0.59999999999999976</v>
      </c>
      <c r="C81">
        <v>0</v>
      </c>
      <c r="D81">
        <v>0.98999999999991672</v>
      </c>
      <c r="E81">
        <v>1.0000000000083276E-2</v>
      </c>
      <c r="F81" t="s">
        <v>102</v>
      </c>
      <c r="G81" t="s">
        <v>101</v>
      </c>
    </row>
    <row r="82" spans="1:7" x14ac:dyDescent="0.3">
      <c r="A82">
        <v>0.8100000000000005</v>
      </c>
      <c r="B82">
        <v>0.59499999999999975</v>
      </c>
      <c r="C82">
        <v>0</v>
      </c>
      <c r="D82">
        <v>0.98999999999991672</v>
      </c>
      <c r="E82">
        <v>1.0000000000083276E-2</v>
      </c>
      <c r="F82" t="s">
        <v>102</v>
      </c>
      <c r="G82" t="s">
        <v>101</v>
      </c>
    </row>
    <row r="83" spans="1:7" x14ac:dyDescent="0.3">
      <c r="A83">
        <v>0.82000000000000051</v>
      </c>
      <c r="B83">
        <v>0.58999999999999975</v>
      </c>
      <c r="C83">
        <v>0</v>
      </c>
      <c r="D83">
        <v>0.98999999999991672</v>
      </c>
      <c r="E83">
        <v>1.0000000000083276E-2</v>
      </c>
      <c r="F83" t="s">
        <v>102</v>
      </c>
      <c r="G83" t="s">
        <v>101</v>
      </c>
    </row>
    <row r="84" spans="1:7" x14ac:dyDescent="0.3">
      <c r="A84">
        <v>0.83000000000000052</v>
      </c>
      <c r="B84">
        <v>0.58499999999999974</v>
      </c>
      <c r="C84">
        <v>0</v>
      </c>
      <c r="D84">
        <v>0.98999999999991672</v>
      </c>
      <c r="E84">
        <v>1.0000000000083276E-2</v>
      </c>
      <c r="F84" t="s">
        <v>102</v>
      </c>
      <c r="G84" t="s">
        <v>101</v>
      </c>
    </row>
    <row r="85" spans="1:7" x14ac:dyDescent="0.3">
      <c r="A85">
        <v>0.84000000000000052</v>
      </c>
      <c r="B85">
        <v>0.57999999999999974</v>
      </c>
      <c r="C85">
        <v>0</v>
      </c>
      <c r="D85">
        <v>0.98999999999991672</v>
      </c>
      <c r="E85">
        <v>1.0000000000083276E-2</v>
      </c>
      <c r="F85" t="s">
        <v>102</v>
      </c>
      <c r="G85" t="s">
        <v>101</v>
      </c>
    </row>
    <row r="86" spans="1:7" x14ac:dyDescent="0.3">
      <c r="A86">
        <v>0.85000000000000053</v>
      </c>
      <c r="B86">
        <v>0.57499999999999973</v>
      </c>
      <c r="C86">
        <v>0</v>
      </c>
      <c r="D86">
        <v>0.98999999999991672</v>
      </c>
      <c r="E86">
        <v>1.0000000000083276E-2</v>
      </c>
      <c r="F86" t="s">
        <v>102</v>
      </c>
      <c r="G86" t="s">
        <v>101</v>
      </c>
    </row>
    <row r="87" spans="1:7" x14ac:dyDescent="0.3">
      <c r="A87">
        <v>0.86000000000000054</v>
      </c>
      <c r="B87">
        <v>0.56999999999999973</v>
      </c>
      <c r="C87">
        <v>0</v>
      </c>
      <c r="D87">
        <v>0.98999999999991672</v>
      </c>
      <c r="E87">
        <v>1.0000000000083276E-2</v>
      </c>
      <c r="F87" t="s">
        <v>102</v>
      </c>
      <c r="G87" t="s">
        <v>101</v>
      </c>
    </row>
    <row r="88" spans="1:7" x14ac:dyDescent="0.3">
      <c r="A88">
        <v>0.87000000000000055</v>
      </c>
      <c r="B88">
        <v>0.56499999999999972</v>
      </c>
      <c r="C88">
        <v>0</v>
      </c>
      <c r="D88">
        <v>0.98999999999991672</v>
      </c>
      <c r="E88">
        <v>1.0000000000083276E-2</v>
      </c>
      <c r="F88" t="s">
        <v>102</v>
      </c>
      <c r="G88" t="s">
        <v>101</v>
      </c>
    </row>
    <row r="89" spans="1:7" x14ac:dyDescent="0.3">
      <c r="A89">
        <v>0.88000000000000056</v>
      </c>
      <c r="B89">
        <v>0.55999999999999972</v>
      </c>
      <c r="C89">
        <v>0</v>
      </c>
      <c r="D89">
        <v>0.98999999999991672</v>
      </c>
      <c r="E89">
        <v>1.0000000000083276E-2</v>
      </c>
      <c r="F89" t="s">
        <v>102</v>
      </c>
      <c r="G89" t="s">
        <v>101</v>
      </c>
    </row>
    <row r="90" spans="1:7" x14ac:dyDescent="0.3">
      <c r="A90">
        <v>0.89000000000000057</v>
      </c>
      <c r="B90">
        <v>0.55499999999999972</v>
      </c>
      <c r="C90">
        <v>0</v>
      </c>
      <c r="D90">
        <v>0.98999999999991672</v>
      </c>
      <c r="E90">
        <v>1.0000000000083276E-2</v>
      </c>
      <c r="F90" t="s">
        <v>102</v>
      </c>
      <c r="G90" t="s">
        <v>101</v>
      </c>
    </row>
    <row r="91" spans="1:7" x14ac:dyDescent="0.3">
      <c r="A91">
        <v>0.90000000000000058</v>
      </c>
      <c r="B91">
        <v>0.54999999999999971</v>
      </c>
      <c r="C91">
        <v>0</v>
      </c>
      <c r="D91">
        <v>0.98999999999991672</v>
      </c>
      <c r="E91">
        <v>1.0000000000083276E-2</v>
      </c>
      <c r="F91" t="s">
        <v>102</v>
      </c>
      <c r="G91" t="s">
        <v>101</v>
      </c>
    </row>
    <row r="92" spans="1:7" x14ac:dyDescent="0.3">
      <c r="A92">
        <v>0.91000000000000059</v>
      </c>
      <c r="B92">
        <v>0.54499999999999971</v>
      </c>
      <c r="C92">
        <v>0</v>
      </c>
      <c r="D92">
        <v>0.98999999999991672</v>
      </c>
      <c r="E92">
        <v>1.0000000000083276E-2</v>
      </c>
      <c r="F92" t="s">
        <v>102</v>
      </c>
      <c r="G92" t="s">
        <v>101</v>
      </c>
    </row>
    <row r="93" spans="1:7" x14ac:dyDescent="0.3">
      <c r="A93">
        <v>0.9200000000000006</v>
      </c>
      <c r="B93">
        <v>0.5399999999999997</v>
      </c>
      <c r="C93">
        <v>0</v>
      </c>
      <c r="D93">
        <v>0.98999999999991672</v>
      </c>
      <c r="E93">
        <v>1.0000000000083276E-2</v>
      </c>
      <c r="F93" t="s">
        <v>102</v>
      </c>
      <c r="G93" t="s">
        <v>101</v>
      </c>
    </row>
    <row r="94" spans="1:7" x14ac:dyDescent="0.3">
      <c r="A94">
        <v>0.9300000000000006</v>
      </c>
      <c r="B94">
        <v>0.5349999999999997</v>
      </c>
      <c r="C94">
        <v>0</v>
      </c>
      <c r="D94">
        <v>0.98999999999991672</v>
      </c>
      <c r="E94">
        <v>1.0000000000083276E-2</v>
      </c>
      <c r="F94" t="s">
        <v>102</v>
      </c>
      <c r="G94" t="s">
        <v>101</v>
      </c>
    </row>
    <row r="95" spans="1:7" x14ac:dyDescent="0.3">
      <c r="A95">
        <v>0.94000000000000061</v>
      </c>
      <c r="B95">
        <v>0.52999999999999969</v>
      </c>
      <c r="C95">
        <v>0</v>
      </c>
      <c r="D95">
        <v>0.98999999999991672</v>
      </c>
      <c r="E95">
        <v>1.0000000000083276E-2</v>
      </c>
      <c r="F95" t="s">
        <v>102</v>
      </c>
      <c r="G95" t="s">
        <v>101</v>
      </c>
    </row>
    <row r="96" spans="1:7" x14ac:dyDescent="0.3">
      <c r="A96">
        <v>0.95000000000000062</v>
      </c>
      <c r="B96">
        <v>0.52499999999999969</v>
      </c>
      <c r="C96">
        <v>0</v>
      </c>
      <c r="D96">
        <v>0.98999999999991672</v>
      </c>
      <c r="E96">
        <v>1.0000000000083276E-2</v>
      </c>
      <c r="F96" t="s">
        <v>102</v>
      </c>
      <c r="G96" t="s">
        <v>101</v>
      </c>
    </row>
    <row r="97" spans="1:7" x14ac:dyDescent="0.3">
      <c r="A97">
        <v>0.96000000000000063</v>
      </c>
      <c r="B97">
        <v>0.51999999999999968</v>
      </c>
      <c r="C97">
        <v>0</v>
      </c>
      <c r="D97">
        <v>0.98999999999991672</v>
      </c>
      <c r="E97">
        <v>1.0000000000083276E-2</v>
      </c>
      <c r="F97" t="s">
        <v>102</v>
      </c>
      <c r="G97" t="s">
        <v>101</v>
      </c>
    </row>
    <row r="98" spans="1:7" x14ac:dyDescent="0.3">
      <c r="A98">
        <v>0.97000000000000064</v>
      </c>
      <c r="B98">
        <v>0.51499999999999968</v>
      </c>
      <c r="C98">
        <v>0</v>
      </c>
      <c r="D98">
        <v>0.98999999999991672</v>
      </c>
      <c r="E98">
        <v>1.0000000000083276E-2</v>
      </c>
      <c r="F98" t="s">
        <v>102</v>
      </c>
      <c r="G98" t="s">
        <v>101</v>
      </c>
    </row>
    <row r="99" spans="1:7" x14ac:dyDescent="0.3">
      <c r="A99">
        <v>0.98000000000000065</v>
      </c>
      <c r="B99">
        <v>0.50999999999999968</v>
      </c>
      <c r="C99">
        <v>0</v>
      </c>
      <c r="D99">
        <v>0.98999999999991672</v>
      </c>
      <c r="E99">
        <v>1.0000000000083276E-2</v>
      </c>
      <c r="F99" t="s">
        <v>102</v>
      </c>
      <c r="G99" t="s">
        <v>101</v>
      </c>
    </row>
    <row r="100" spans="1:7" x14ac:dyDescent="0.3">
      <c r="A100">
        <v>0.99000000000000066</v>
      </c>
      <c r="B100">
        <v>0.50499999999999967</v>
      </c>
      <c r="C100">
        <v>0</v>
      </c>
      <c r="D100">
        <v>0.98999999999991672</v>
      </c>
      <c r="E100">
        <v>1.0000000000083276E-2</v>
      </c>
      <c r="F100" t="s">
        <v>102</v>
      </c>
      <c r="G100" t="s">
        <v>101</v>
      </c>
    </row>
    <row r="101" spans="1:7" x14ac:dyDescent="0.3">
      <c r="A101">
        <v>1.0000000000000007</v>
      </c>
      <c r="B101">
        <v>0.49999999999999967</v>
      </c>
      <c r="C101">
        <v>0</v>
      </c>
      <c r="D101">
        <v>-0.99999999999999933</v>
      </c>
      <c r="E101">
        <v>6.6613381477509392E-16</v>
      </c>
      <c r="F101" t="s">
        <v>102</v>
      </c>
      <c r="G101" t="s">
        <v>100</v>
      </c>
    </row>
    <row r="102" spans="1:7" x14ac:dyDescent="0.3">
      <c r="A102">
        <v>1.0100000000000007</v>
      </c>
      <c r="B102">
        <v>0.49499999999999966</v>
      </c>
      <c r="C102">
        <v>0</v>
      </c>
      <c r="D102">
        <v>-0.98999999999999932</v>
      </c>
      <c r="E102">
        <v>1.0000000000000675E-2</v>
      </c>
      <c r="F102" t="s">
        <v>102</v>
      </c>
      <c r="G102" t="s">
        <v>100</v>
      </c>
    </row>
    <row r="103" spans="1:7" x14ac:dyDescent="0.3">
      <c r="A103">
        <v>1.0200000000000007</v>
      </c>
      <c r="B103">
        <v>0.48999999999999966</v>
      </c>
      <c r="C103">
        <v>0</v>
      </c>
      <c r="D103">
        <v>-0.97999999999999932</v>
      </c>
      <c r="E103">
        <v>2.0000000000000684E-2</v>
      </c>
      <c r="F103" t="s">
        <v>102</v>
      </c>
      <c r="G103" t="s">
        <v>100</v>
      </c>
    </row>
    <row r="104" spans="1:7" x14ac:dyDescent="0.3">
      <c r="A104">
        <v>1.0300000000000007</v>
      </c>
      <c r="B104">
        <v>0.48499999999999965</v>
      </c>
      <c r="C104">
        <v>0</v>
      </c>
      <c r="D104">
        <v>-0.96999999999999931</v>
      </c>
      <c r="E104">
        <v>3.0000000000000693E-2</v>
      </c>
      <c r="F104" t="s">
        <v>102</v>
      </c>
      <c r="G104" t="s">
        <v>100</v>
      </c>
    </row>
    <row r="105" spans="1:7" x14ac:dyDescent="0.3">
      <c r="A105">
        <v>1.0400000000000007</v>
      </c>
      <c r="B105">
        <v>0.47999999999999965</v>
      </c>
      <c r="C105">
        <v>0</v>
      </c>
      <c r="D105">
        <v>-0.9599999999999993</v>
      </c>
      <c r="E105">
        <v>4.0000000000000702E-2</v>
      </c>
      <c r="F105" t="s">
        <v>102</v>
      </c>
      <c r="G105" t="s">
        <v>100</v>
      </c>
    </row>
    <row r="106" spans="1:7" x14ac:dyDescent="0.3">
      <c r="A106">
        <v>1.0500000000000007</v>
      </c>
      <c r="B106">
        <v>0.47499999999999964</v>
      </c>
      <c r="C106">
        <v>0</v>
      </c>
      <c r="D106">
        <v>-0.94999999999999929</v>
      </c>
      <c r="E106">
        <v>5.0000000000000711E-2</v>
      </c>
      <c r="F106" t="s">
        <v>102</v>
      </c>
      <c r="G106" t="s">
        <v>100</v>
      </c>
    </row>
    <row r="107" spans="1:7" x14ac:dyDescent="0.3">
      <c r="A107">
        <v>1.0600000000000007</v>
      </c>
      <c r="B107">
        <v>0.46999999999999964</v>
      </c>
      <c r="C107">
        <v>0</v>
      </c>
      <c r="D107">
        <v>-0.93999999999999928</v>
      </c>
      <c r="E107">
        <v>6.0000000000000719E-2</v>
      </c>
      <c r="F107" t="s">
        <v>102</v>
      </c>
      <c r="G107" t="s">
        <v>100</v>
      </c>
    </row>
    <row r="108" spans="1:7" x14ac:dyDescent="0.3">
      <c r="A108">
        <v>1.0700000000000007</v>
      </c>
      <c r="B108">
        <v>0.46499999999999964</v>
      </c>
      <c r="C108">
        <v>0</v>
      </c>
      <c r="D108">
        <v>-0.92999999999999927</v>
      </c>
      <c r="E108">
        <v>7.0000000000000728E-2</v>
      </c>
      <c r="F108" t="s">
        <v>102</v>
      </c>
      <c r="G108" t="s">
        <v>100</v>
      </c>
    </row>
    <row r="109" spans="1:7" x14ac:dyDescent="0.3">
      <c r="A109">
        <v>1.0800000000000007</v>
      </c>
      <c r="B109">
        <v>0.45999999999999963</v>
      </c>
      <c r="C109">
        <v>0</v>
      </c>
      <c r="D109">
        <v>-0.91999999999999926</v>
      </c>
      <c r="E109">
        <v>8.0000000000000737E-2</v>
      </c>
      <c r="F109" t="s">
        <v>102</v>
      </c>
      <c r="G109" t="s">
        <v>100</v>
      </c>
    </row>
    <row r="110" spans="1:7" x14ac:dyDescent="0.3">
      <c r="A110">
        <v>1.0900000000000007</v>
      </c>
      <c r="B110">
        <v>0.45499999999999963</v>
      </c>
      <c r="C110">
        <v>0</v>
      </c>
      <c r="D110">
        <v>-0.90999999999999925</v>
      </c>
      <c r="E110">
        <v>9.0000000000000746E-2</v>
      </c>
      <c r="F110" t="s">
        <v>102</v>
      </c>
      <c r="G110" t="s">
        <v>100</v>
      </c>
    </row>
    <row r="111" spans="1:7" x14ac:dyDescent="0.3">
      <c r="A111">
        <v>1.1000000000000008</v>
      </c>
      <c r="B111">
        <v>0.44999999999999962</v>
      </c>
      <c r="C111">
        <v>0</v>
      </c>
      <c r="D111">
        <v>-0.89999999999999925</v>
      </c>
      <c r="E111">
        <v>0.10000000000000075</v>
      </c>
      <c r="F111" t="s">
        <v>102</v>
      </c>
      <c r="G111" t="s">
        <v>100</v>
      </c>
    </row>
    <row r="112" spans="1:7" x14ac:dyDescent="0.3">
      <c r="A112">
        <v>1.1100000000000008</v>
      </c>
      <c r="B112">
        <v>0.44499999999999962</v>
      </c>
      <c r="C112">
        <v>0</v>
      </c>
      <c r="D112">
        <v>-0.88999999999999924</v>
      </c>
      <c r="E112">
        <v>0.11000000000000076</v>
      </c>
      <c r="F112" t="s">
        <v>102</v>
      </c>
      <c r="G112" t="s">
        <v>100</v>
      </c>
    </row>
    <row r="113" spans="1:7" x14ac:dyDescent="0.3">
      <c r="A113">
        <v>1.1200000000000008</v>
      </c>
      <c r="B113">
        <v>0.43999999999999961</v>
      </c>
      <c r="C113">
        <v>0</v>
      </c>
      <c r="D113">
        <v>-0.87999999999999923</v>
      </c>
      <c r="E113">
        <v>0.12000000000000077</v>
      </c>
      <c r="F113" t="s">
        <v>102</v>
      </c>
      <c r="G113" t="s">
        <v>100</v>
      </c>
    </row>
    <row r="114" spans="1:7" x14ac:dyDescent="0.3">
      <c r="A114">
        <v>1.1300000000000008</v>
      </c>
      <c r="B114">
        <v>0.43499999999999961</v>
      </c>
      <c r="C114">
        <v>0</v>
      </c>
      <c r="D114">
        <v>-0.86999999999999922</v>
      </c>
      <c r="E114">
        <v>0.13000000000000078</v>
      </c>
      <c r="F114" t="s">
        <v>102</v>
      </c>
      <c r="G114" t="s">
        <v>100</v>
      </c>
    </row>
    <row r="115" spans="1:7" x14ac:dyDescent="0.3">
      <c r="A115">
        <v>1.1400000000000008</v>
      </c>
      <c r="B115">
        <v>0.4299999999999996</v>
      </c>
      <c r="C115">
        <v>0</v>
      </c>
      <c r="D115">
        <v>-0.85999999999999921</v>
      </c>
      <c r="E115">
        <v>0.14000000000000079</v>
      </c>
      <c r="F115" t="s">
        <v>102</v>
      </c>
      <c r="G115" t="s">
        <v>100</v>
      </c>
    </row>
    <row r="116" spans="1:7" x14ac:dyDescent="0.3">
      <c r="A116">
        <v>1.1500000000000008</v>
      </c>
      <c r="B116">
        <v>0.4249999999999996</v>
      </c>
      <c r="C116">
        <v>0</v>
      </c>
      <c r="D116">
        <v>-0.8499999999999992</v>
      </c>
      <c r="E116">
        <v>0.1500000000000008</v>
      </c>
      <c r="F116" t="s">
        <v>102</v>
      </c>
      <c r="G116" t="s">
        <v>100</v>
      </c>
    </row>
    <row r="117" spans="1:7" x14ac:dyDescent="0.3">
      <c r="A117">
        <v>1.1600000000000008</v>
      </c>
      <c r="B117">
        <v>0.4199999999999996</v>
      </c>
      <c r="C117">
        <v>0</v>
      </c>
      <c r="D117">
        <v>-0.83999999999999919</v>
      </c>
      <c r="E117">
        <v>0.16000000000000081</v>
      </c>
      <c r="F117" t="s">
        <v>102</v>
      </c>
      <c r="G117" t="s">
        <v>100</v>
      </c>
    </row>
    <row r="118" spans="1:7" x14ac:dyDescent="0.3">
      <c r="A118">
        <v>1.1700000000000008</v>
      </c>
      <c r="B118">
        <v>0.41499999999999959</v>
      </c>
      <c r="C118">
        <v>0</v>
      </c>
      <c r="D118">
        <v>-0.82999999999999918</v>
      </c>
      <c r="E118">
        <v>0.17000000000000082</v>
      </c>
      <c r="F118" t="s">
        <v>102</v>
      </c>
      <c r="G118" t="s">
        <v>100</v>
      </c>
    </row>
    <row r="119" spans="1:7" x14ac:dyDescent="0.3">
      <c r="A119">
        <v>1.1800000000000008</v>
      </c>
      <c r="B119">
        <v>0.40999999999999959</v>
      </c>
      <c r="C119">
        <v>0</v>
      </c>
      <c r="D119">
        <v>-0.81999999999999917</v>
      </c>
      <c r="E119">
        <v>0.18000000000000083</v>
      </c>
      <c r="F119" t="s">
        <v>102</v>
      </c>
      <c r="G119" t="s">
        <v>100</v>
      </c>
    </row>
    <row r="120" spans="1:7" x14ac:dyDescent="0.3">
      <c r="A120">
        <v>1.1900000000000008</v>
      </c>
      <c r="B120">
        <v>0.40499999999999958</v>
      </c>
      <c r="C120">
        <v>0</v>
      </c>
      <c r="D120">
        <v>-0.80999999999999917</v>
      </c>
      <c r="E120">
        <v>0.19000000000000083</v>
      </c>
      <c r="F120" t="s">
        <v>102</v>
      </c>
      <c r="G120" t="s">
        <v>100</v>
      </c>
    </row>
    <row r="121" spans="1:7" x14ac:dyDescent="0.3">
      <c r="A121">
        <v>1.2000000000000008</v>
      </c>
      <c r="B121">
        <v>0.39999999999999958</v>
      </c>
      <c r="C121">
        <v>0</v>
      </c>
      <c r="D121">
        <v>-0.79999999999999916</v>
      </c>
      <c r="E121">
        <v>0.20000000000000084</v>
      </c>
      <c r="F121" t="s">
        <v>102</v>
      </c>
      <c r="G121" t="s">
        <v>100</v>
      </c>
    </row>
    <row r="122" spans="1:7" x14ac:dyDescent="0.3">
      <c r="A122">
        <v>1.2100000000000009</v>
      </c>
      <c r="B122">
        <v>0.39499999999999957</v>
      </c>
      <c r="C122">
        <v>0</v>
      </c>
      <c r="D122">
        <v>-0.78999999999999915</v>
      </c>
      <c r="E122">
        <v>0.21000000000000085</v>
      </c>
      <c r="F122" t="s">
        <v>102</v>
      </c>
      <c r="G122" t="s">
        <v>100</v>
      </c>
    </row>
    <row r="123" spans="1:7" x14ac:dyDescent="0.3">
      <c r="A123">
        <v>1.2200000000000009</v>
      </c>
      <c r="B123">
        <v>0.38999999999999957</v>
      </c>
      <c r="C123">
        <v>0</v>
      </c>
      <c r="D123">
        <v>-0.77999999999999914</v>
      </c>
      <c r="E123">
        <v>0.22000000000000086</v>
      </c>
      <c r="F123" t="s">
        <v>102</v>
      </c>
      <c r="G123" t="s">
        <v>100</v>
      </c>
    </row>
    <row r="124" spans="1:7" x14ac:dyDescent="0.3">
      <c r="A124">
        <v>1.2300000000000009</v>
      </c>
      <c r="B124">
        <v>0.38499999999999956</v>
      </c>
      <c r="C124">
        <v>0</v>
      </c>
      <c r="D124">
        <v>-0.76999999999999913</v>
      </c>
      <c r="E124">
        <v>0.23000000000000087</v>
      </c>
      <c r="F124" t="s">
        <v>102</v>
      </c>
      <c r="G124" t="s">
        <v>100</v>
      </c>
    </row>
    <row r="125" spans="1:7" x14ac:dyDescent="0.3">
      <c r="A125">
        <v>1.2400000000000009</v>
      </c>
      <c r="B125">
        <v>0.37999999999999956</v>
      </c>
      <c r="C125">
        <v>0</v>
      </c>
      <c r="D125">
        <v>-0.75999999999999912</v>
      </c>
      <c r="E125">
        <v>0.24000000000000088</v>
      </c>
      <c r="F125" t="s">
        <v>102</v>
      </c>
      <c r="G125" t="s">
        <v>100</v>
      </c>
    </row>
    <row r="126" spans="1:7" x14ac:dyDescent="0.3">
      <c r="A126">
        <v>1.2500000000000009</v>
      </c>
      <c r="B126">
        <v>0.37499999999999956</v>
      </c>
      <c r="C126">
        <v>0</v>
      </c>
      <c r="D126">
        <v>-0.74999999999999911</v>
      </c>
      <c r="E126">
        <v>0.25000000000000089</v>
      </c>
      <c r="F126" t="s">
        <v>102</v>
      </c>
      <c r="G126" t="s">
        <v>100</v>
      </c>
    </row>
    <row r="127" spans="1:7" x14ac:dyDescent="0.3">
      <c r="A127">
        <v>1.2600000000000009</v>
      </c>
      <c r="B127">
        <v>0.36999999999999955</v>
      </c>
      <c r="C127">
        <v>0</v>
      </c>
      <c r="D127">
        <v>-0.7399999999999991</v>
      </c>
      <c r="E127">
        <v>0.2600000000000009</v>
      </c>
      <c r="F127" t="s">
        <v>102</v>
      </c>
      <c r="G127" t="s">
        <v>100</v>
      </c>
    </row>
    <row r="128" spans="1:7" x14ac:dyDescent="0.3">
      <c r="A128">
        <v>1.2700000000000009</v>
      </c>
      <c r="B128">
        <v>0.36499999999999955</v>
      </c>
      <c r="C128">
        <v>0</v>
      </c>
      <c r="D128">
        <v>-0.72999999999999909</v>
      </c>
      <c r="E128">
        <v>0.27000000000000091</v>
      </c>
      <c r="F128" t="s">
        <v>102</v>
      </c>
      <c r="G128" t="s">
        <v>100</v>
      </c>
    </row>
    <row r="129" spans="1:7" x14ac:dyDescent="0.3">
      <c r="A129">
        <v>1.2800000000000009</v>
      </c>
      <c r="B129">
        <v>0.35999999999999954</v>
      </c>
      <c r="C129">
        <v>0</v>
      </c>
      <c r="D129">
        <v>-0.71999999999999909</v>
      </c>
      <c r="E129">
        <v>0.28000000000000091</v>
      </c>
      <c r="F129" t="s">
        <v>102</v>
      </c>
      <c r="G129" t="s">
        <v>100</v>
      </c>
    </row>
    <row r="130" spans="1:7" x14ac:dyDescent="0.3">
      <c r="A130">
        <v>1.2900000000000009</v>
      </c>
      <c r="B130">
        <v>0.35499999999999954</v>
      </c>
      <c r="C130">
        <v>0</v>
      </c>
      <c r="D130">
        <v>-0.70999999999999908</v>
      </c>
      <c r="E130">
        <v>0.29000000000000092</v>
      </c>
      <c r="F130" t="s">
        <v>102</v>
      </c>
      <c r="G130" t="s">
        <v>100</v>
      </c>
    </row>
    <row r="131" spans="1:7" x14ac:dyDescent="0.3">
      <c r="A131">
        <v>1.3000000000000009</v>
      </c>
      <c r="B131">
        <v>0.34999999999999953</v>
      </c>
      <c r="C131">
        <v>0</v>
      </c>
      <c r="D131">
        <v>-0.69999999999999907</v>
      </c>
      <c r="E131">
        <v>0.30000000000000093</v>
      </c>
      <c r="F131" t="s">
        <v>102</v>
      </c>
      <c r="G131" t="s">
        <v>100</v>
      </c>
    </row>
    <row r="132" spans="1:7" x14ac:dyDescent="0.3">
      <c r="A132">
        <v>1.3100000000000009</v>
      </c>
      <c r="B132">
        <v>0.34499999999999953</v>
      </c>
      <c r="C132">
        <v>0</v>
      </c>
      <c r="D132">
        <v>-0.68999999999999906</v>
      </c>
      <c r="E132">
        <v>0.31000000000000094</v>
      </c>
      <c r="F132" t="s">
        <v>102</v>
      </c>
      <c r="G132" t="s">
        <v>100</v>
      </c>
    </row>
    <row r="133" spans="1:7" x14ac:dyDescent="0.3">
      <c r="A133">
        <v>1.320000000000001</v>
      </c>
      <c r="B133">
        <v>0.33999999999999952</v>
      </c>
      <c r="C133">
        <v>0</v>
      </c>
      <c r="D133">
        <v>-0.67999999999999905</v>
      </c>
      <c r="E133">
        <v>0.32000000000000095</v>
      </c>
      <c r="F133" t="s">
        <v>102</v>
      </c>
      <c r="G133" t="s">
        <v>100</v>
      </c>
    </row>
    <row r="134" spans="1:7" x14ac:dyDescent="0.3">
      <c r="A134">
        <v>1.330000000000001</v>
      </c>
      <c r="B134">
        <v>0.33499999999999952</v>
      </c>
      <c r="C134">
        <v>0</v>
      </c>
      <c r="D134">
        <v>-0.66999999999999904</v>
      </c>
      <c r="E134">
        <v>0.33000000000000096</v>
      </c>
      <c r="F134" t="s">
        <v>102</v>
      </c>
      <c r="G134" t="s">
        <v>100</v>
      </c>
    </row>
    <row r="135" spans="1:7" x14ac:dyDescent="0.3">
      <c r="A135">
        <v>1.340000000000001</v>
      </c>
      <c r="B135">
        <v>0.32999999999999952</v>
      </c>
      <c r="C135">
        <v>0</v>
      </c>
      <c r="D135">
        <v>-0.65999999999999903</v>
      </c>
      <c r="E135">
        <v>0.34000000000000097</v>
      </c>
      <c r="F135" t="s">
        <v>102</v>
      </c>
      <c r="G135" t="s">
        <v>100</v>
      </c>
    </row>
    <row r="136" spans="1:7" x14ac:dyDescent="0.3">
      <c r="A136">
        <v>1.350000000000001</v>
      </c>
      <c r="B136">
        <v>0.32499999999999951</v>
      </c>
      <c r="C136">
        <v>0</v>
      </c>
      <c r="D136">
        <v>-0.64999999999999902</v>
      </c>
      <c r="E136">
        <v>0.35000000000000098</v>
      </c>
      <c r="F136" t="s">
        <v>102</v>
      </c>
      <c r="G136" t="s">
        <v>100</v>
      </c>
    </row>
    <row r="137" spans="1:7" x14ac:dyDescent="0.3">
      <c r="A137">
        <v>1.360000000000001</v>
      </c>
      <c r="B137">
        <v>0.31999999999999951</v>
      </c>
      <c r="C137">
        <v>0</v>
      </c>
      <c r="D137">
        <v>-0.63999999999999901</v>
      </c>
      <c r="E137">
        <v>0.36000000000000099</v>
      </c>
      <c r="F137" t="s">
        <v>102</v>
      </c>
      <c r="G137" t="s">
        <v>100</v>
      </c>
    </row>
    <row r="138" spans="1:7" x14ac:dyDescent="0.3">
      <c r="A138">
        <v>1.370000000000001</v>
      </c>
      <c r="B138">
        <v>0.3149999999999995</v>
      </c>
      <c r="C138">
        <v>0</v>
      </c>
      <c r="D138">
        <v>-0.62999999999999901</v>
      </c>
      <c r="E138">
        <v>0.37000000000000099</v>
      </c>
      <c r="F138" t="s">
        <v>102</v>
      </c>
      <c r="G138" t="s">
        <v>100</v>
      </c>
    </row>
    <row r="139" spans="1:7" x14ac:dyDescent="0.3">
      <c r="A139">
        <v>1.380000000000001</v>
      </c>
      <c r="B139">
        <v>0.3099999999999995</v>
      </c>
      <c r="C139">
        <v>0</v>
      </c>
      <c r="D139">
        <v>-0.619999999999999</v>
      </c>
      <c r="E139">
        <v>0.380000000000001</v>
      </c>
      <c r="F139" t="s">
        <v>102</v>
      </c>
      <c r="G139" t="s">
        <v>100</v>
      </c>
    </row>
    <row r="140" spans="1:7" x14ac:dyDescent="0.3">
      <c r="A140">
        <v>1.390000000000001</v>
      </c>
      <c r="B140">
        <v>0.30499999999999949</v>
      </c>
      <c r="C140">
        <v>0</v>
      </c>
      <c r="D140">
        <v>-0.60999999999999899</v>
      </c>
      <c r="E140">
        <v>0.39000000000000101</v>
      </c>
      <c r="F140" t="s">
        <v>102</v>
      </c>
      <c r="G140" t="s">
        <v>100</v>
      </c>
    </row>
    <row r="141" spans="1:7" x14ac:dyDescent="0.3">
      <c r="A141">
        <v>1.400000000000001</v>
      </c>
      <c r="B141">
        <v>0.29999999999999949</v>
      </c>
      <c r="C141">
        <v>0</v>
      </c>
      <c r="D141">
        <v>-0.59999999999999898</v>
      </c>
      <c r="E141">
        <v>0.40000000000000102</v>
      </c>
      <c r="F141" t="s">
        <v>102</v>
      </c>
      <c r="G141" t="s">
        <v>100</v>
      </c>
    </row>
    <row r="142" spans="1:7" x14ac:dyDescent="0.3">
      <c r="A142">
        <v>1.410000000000001</v>
      </c>
      <c r="B142">
        <v>0.29499999999999948</v>
      </c>
      <c r="C142">
        <v>0</v>
      </c>
      <c r="D142">
        <v>-0.58999999999999897</v>
      </c>
      <c r="E142">
        <v>0.41000000000000103</v>
      </c>
      <c r="F142" t="s">
        <v>102</v>
      </c>
      <c r="G142" t="s">
        <v>100</v>
      </c>
    </row>
    <row r="143" spans="1:7" x14ac:dyDescent="0.3">
      <c r="A143">
        <v>1.420000000000001</v>
      </c>
      <c r="B143">
        <v>0.28999999999999948</v>
      </c>
      <c r="C143">
        <v>0</v>
      </c>
      <c r="D143">
        <v>-0.57999999999999896</v>
      </c>
      <c r="E143">
        <v>0.42000000000000104</v>
      </c>
      <c r="F143" t="s">
        <v>102</v>
      </c>
      <c r="G143" t="s">
        <v>100</v>
      </c>
    </row>
    <row r="144" spans="1:7" x14ac:dyDescent="0.3">
      <c r="A144">
        <v>1.430000000000001</v>
      </c>
      <c r="B144">
        <v>0.28499999999999948</v>
      </c>
      <c r="C144">
        <v>0</v>
      </c>
      <c r="D144">
        <v>-0.56999999999999895</v>
      </c>
      <c r="E144">
        <v>0.43000000000000105</v>
      </c>
      <c r="F144" t="s">
        <v>102</v>
      </c>
      <c r="G144" t="s">
        <v>100</v>
      </c>
    </row>
    <row r="145" spans="1:7" x14ac:dyDescent="0.3">
      <c r="A145">
        <v>1.4400000000000011</v>
      </c>
      <c r="B145">
        <v>0.27999999999999947</v>
      </c>
      <c r="C145">
        <v>0</v>
      </c>
      <c r="D145">
        <v>-0.55999999999999894</v>
      </c>
      <c r="E145">
        <v>0.44000000000000106</v>
      </c>
      <c r="F145" t="s">
        <v>102</v>
      </c>
      <c r="G145" t="s">
        <v>100</v>
      </c>
    </row>
    <row r="146" spans="1:7" x14ac:dyDescent="0.3">
      <c r="A146">
        <v>1.4500000000000011</v>
      </c>
      <c r="B146">
        <v>0.27499999999999947</v>
      </c>
      <c r="C146">
        <v>0</v>
      </c>
      <c r="D146">
        <v>-0.54999999999999893</v>
      </c>
      <c r="E146">
        <v>0.45000000000000107</v>
      </c>
      <c r="F146" t="s">
        <v>102</v>
      </c>
      <c r="G146" t="s">
        <v>100</v>
      </c>
    </row>
    <row r="147" spans="1:7" x14ac:dyDescent="0.3">
      <c r="A147">
        <v>1.4600000000000011</v>
      </c>
      <c r="B147">
        <v>0.26999999999999946</v>
      </c>
      <c r="C147">
        <v>0</v>
      </c>
      <c r="D147">
        <v>-0.53999999999999893</v>
      </c>
      <c r="E147">
        <v>0.46000000000000107</v>
      </c>
      <c r="F147" t="s">
        <v>102</v>
      </c>
      <c r="G147" t="s">
        <v>100</v>
      </c>
    </row>
    <row r="148" spans="1:7" x14ac:dyDescent="0.3">
      <c r="A148">
        <v>1.4700000000000011</v>
      </c>
      <c r="B148">
        <v>0.26499999999999946</v>
      </c>
      <c r="C148">
        <v>0</v>
      </c>
      <c r="D148">
        <v>-0.52999999999999892</v>
      </c>
      <c r="E148">
        <v>0.47000000000000108</v>
      </c>
      <c r="F148" t="s">
        <v>102</v>
      </c>
      <c r="G148" t="s">
        <v>100</v>
      </c>
    </row>
    <row r="149" spans="1:7" x14ac:dyDescent="0.3">
      <c r="A149">
        <v>1.4800000000000011</v>
      </c>
      <c r="B149">
        <v>0.25999999999999945</v>
      </c>
      <c r="C149">
        <v>0</v>
      </c>
      <c r="D149">
        <v>-0.51999999999999891</v>
      </c>
      <c r="E149">
        <v>0.48000000000000109</v>
      </c>
      <c r="F149" t="s">
        <v>102</v>
      </c>
      <c r="G149" t="s">
        <v>100</v>
      </c>
    </row>
    <row r="150" spans="1:7" x14ac:dyDescent="0.3">
      <c r="A150">
        <v>1.4900000000000011</v>
      </c>
      <c r="B150">
        <v>0.25499999999999945</v>
      </c>
      <c r="C150">
        <v>0</v>
      </c>
      <c r="D150">
        <v>-0.5099999999999989</v>
      </c>
      <c r="E150">
        <v>0.4900000000000011</v>
      </c>
      <c r="F150" t="s">
        <v>102</v>
      </c>
      <c r="G150" t="s">
        <v>100</v>
      </c>
    </row>
    <row r="151" spans="1:7" x14ac:dyDescent="0.3">
      <c r="A151">
        <v>1.5000000000000011</v>
      </c>
      <c r="B151">
        <v>0.24999999999999944</v>
      </c>
      <c r="C151">
        <v>0</v>
      </c>
      <c r="D151">
        <v>-0.49999999999999889</v>
      </c>
      <c r="E151">
        <v>0.50000000000000111</v>
      </c>
      <c r="F151" t="s">
        <v>102</v>
      </c>
      <c r="G151" t="s">
        <v>100</v>
      </c>
    </row>
    <row r="152" spans="1:7" x14ac:dyDescent="0.3">
      <c r="A152">
        <v>1.5100000000000011</v>
      </c>
      <c r="B152">
        <v>0.24499999999999944</v>
      </c>
      <c r="C152">
        <v>0</v>
      </c>
      <c r="D152">
        <v>-0.48999999999999888</v>
      </c>
      <c r="E152">
        <v>0.51000000000000112</v>
      </c>
      <c r="F152" t="s">
        <v>102</v>
      </c>
      <c r="G152" t="s">
        <v>100</v>
      </c>
    </row>
    <row r="153" spans="1:7" x14ac:dyDescent="0.3">
      <c r="A153">
        <v>1.5200000000000011</v>
      </c>
      <c r="B153">
        <v>0.23999999999999944</v>
      </c>
      <c r="C153">
        <v>0</v>
      </c>
      <c r="D153">
        <v>-0.47999999999999887</v>
      </c>
      <c r="E153">
        <v>0.52000000000000113</v>
      </c>
      <c r="F153" t="s">
        <v>102</v>
      </c>
      <c r="G153" t="s">
        <v>100</v>
      </c>
    </row>
    <row r="154" spans="1:7" x14ac:dyDescent="0.3">
      <c r="A154">
        <v>1.5300000000000011</v>
      </c>
      <c r="B154">
        <v>0.23499999999999943</v>
      </c>
      <c r="C154">
        <v>0</v>
      </c>
      <c r="D154">
        <v>-0.46999999999999886</v>
      </c>
      <c r="E154">
        <v>0.53000000000000114</v>
      </c>
      <c r="F154" t="s">
        <v>102</v>
      </c>
      <c r="G154" t="s">
        <v>100</v>
      </c>
    </row>
    <row r="155" spans="1:7" x14ac:dyDescent="0.3">
      <c r="A155">
        <v>1.5400000000000011</v>
      </c>
      <c r="B155">
        <v>0.22999999999999943</v>
      </c>
      <c r="C155">
        <v>0</v>
      </c>
      <c r="D155">
        <v>-0.45999999999999885</v>
      </c>
      <c r="E155">
        <v>0.54000000000000115</v>
      </c>
      <c r="F155" t="s">
        <v>102</v>
      </c>
      <c r="G155" t="s">
        <v>100</v>
      </c>
    </row>
    <row r="156" spans="1:7" x14ac:dyDescent="0.3">
      <c r="A156">
        <v>1.5500000000000012</v>
      </c>
      <c r="B156">
        <v>0.22499999999999942</v>
      </c>
      <c r="C156">
        <v>0</v>
      </c>
      <c r="D156">
        <v>-0.44999999999999885</v>
      </c>
      <c r="E156">
        <v>0.55000000000000115</v>
      </c>
      <c r="F156" t="s">
        <v>102</v>
      </c>
      <c r="G156" t="s">
        <v>100</v>
      </c>
    </row>
    <row r="157" spans="1:7" x14ac:dyDescent="0.3">
      <c r="A157">
        <v>1.5600000000000012</v>
      </c>
      <c r="B157">
        <v>0.21999999999999942</v>
      </c>
      <c r="C157">
        <v>0</v>
      </c>
      <c r="D157">
        <v>-0.43999999999999884</v>
      </c>
      <c r="E157">
        <v>0.56000000000000116</v>
      </c>
      <c r="F157" t="s">
        <v>102</v>
      </c>
      <c r="G157" t="s">
        <v>100</v>
      </c>
    </row>
    <row r="158" spans="1:7" x14ac:dyDescent="0.3">
      <c r="A158">
        <v>1.5700000000000012</v>
      </c>
      <c r="B158">
        <v>0.21499999999999941</v>
      </c>
      <c r="C158">
        <v>0</v>
      </c>
      <c r="D158">
        <v>-0.42999999999999883</v>
      </c>
      <c r="E158">
        <v>0.57000000000000117</v>
      </c>
      <c r="F158" t="s">
        <v>102</v>
      </c>
      <c r="G158" t="s">
        <v>100</v>
      </c>
    </row>
    <row r="159" spans="1:7" x14ac:dyDescent="0.3">
      <c r="A159">
        <v>1.5800000000000012</v>
      </c>
      <c r="B159">
        <v>0.20999999999999941</v>
      </c>
      <c r="C159">
        <v>0</v>
      </c>
      <c r="D159">
        <v>-0.41999999999999882</v>
      </c>
      <c r="E159">
        <v>0.58000000000000118</v>
      </c>
      <c r="F159" t="s">
        <v>102</v>
      </c>
      <c r="G159" t="s">
        <v>100</v>
      </c>
    </row>
    <row r="160" spans="1:7" x14ac:dyDescent="0.3">
      <c r="A160">
        <v>1.5900000000000012</v>
      </c>
      <c r="B160">
        <v>0.2049999999999994</v>
      </c>
      <c r="C160">
        <v>0</v>
      </c>
      <c r="D160">
        <v>-0.40999999999999881</v>
      </c>
      <c r="E160">
        <v>0.59000000000000119</v>
      </c>
      <c r="F160" t="s">
        <v>102</v>
      </c>
      <c r="G160" t="s">
        <v>100</v>
      </c>
    </row>
    <row r="161" spans="1:7" x14ac:dyDescent="0.3">
      <c r="A161">
        <v>1.6000000000000012</v>
      </c>
      <c r="B161">
        <v>0.1999999999999994</v>
      </c>
      <c r="C161">
        <v>0</v>
      </c>
      <c r="D161">
        <v>-0.3999999999999988</v>
      </c>
      <c r="E161">
        <v>0.6000000000000012</v>
      </c>
      <c r="F161" t="s">
        <v>102</v>
      </c>
      <c r="G161" t="s">
        <v>100</v>
      </c>
    </row>
    <row r="162" spans="1:7" x14ac:dyDescent="0.3">
      <c r="A162">
        <v>1.6100000000000012</v>
      </c>
      <c r="B162">
        <v>0.1949999999999994</v>
      </c>
      <c r="C162">
        <v>0</v>
      </c>
      <c r="D162">
        <v>-0.38999999999999879</v>
      </c>
      <c r="E162">
        <v>0.61000000000000121</v>
      </c>
      <c r="F162" t="s">
        <v>102</v>
      </c>
      <c r="G162" t="s">
        <v>100</v>
      </c>
    </row>
    <row r="163" spans="1:7" x14ac:dyDescent="0.3">
      <c r="A163">
        <v>1.6200000000000012</v>
      </c>
      <c r="B163">
        <v>0.18999999999999939</v>
      </c>
      <c r="C163">
        <v>0</v>
      </c>
      <c r="D163">
        <v>-0.37999999999999878</v>
      </c>
      <c r="E163">
        <v>0.62000000000000122</v>
      </c>
      <c r="F163" t="s">
        <v>102</v>
      </c>
      <c r="G163" t="s">
        <v>100</v>
      </c>
    </row>
    <row r="164" spans="1:7" x14ac:dyDescent="0.3">
      <c r="A164">
        <v>1.6300000000000012</v>
      </c>
      <c r="B164">
        <v>0.18499999999999939</v>
      </c>
      <c r="C164">
        <v>0</v>
      </c>
      <c r="D164">
        <v>-0.36999999999999877</v>
      </c>
      <c r="E164">
        <v>0.63000000000000123</v>
      </c>
      <c r="F164" t="s">
        <v>102</v>
      </c>
      <c r="G164" t="s">
        <v>100</v>
      </c>
    </row>
    <row r="165" spans="1:7" x14ac:dyDescent="0.3">
      <c r="A165">
        <v>1.6400000000000012</v>
      </c>
      <c r="B165">
        <v>0.17999999999999938</v>
      </c>
      <c r="C165">
        <v>0</v>
      </c>
      <c r="D165">
        <v>-0.35999999999999877</v>
      </c>
      <c r="E165">
        <v>0.64000000000000123</v>
      </c>
      <c r="F165" t="s">
        <v>102</v>
      </c>
      <c r="G165" t="s">
        <v>100</v>
      </c>
    </row>
    <row r="166" spans="1:7" x14ac:dyDescent="0.3">
      <c r="A166">
        <v>1.6500000000000012</v>
      </c>
      <c r="B166">
        <v>0.17499999999999938</v>
      </c>
      <c r="C166">
        <v>0</v>
      </c>
      <c r="D166">
        <v>-0.34999999999999876</v>
      </c>
      <c r="E166">
        <v>0.65000000000000124</v>
      </c>
      <c r="F166" t="s">
        <v>102</v>
      </c>
      <c r="G166" t="s">
        <v>100</v>
      </c>
    </row>
    <row r="167" spans="1:7" x14ac:dyDescent="0.3">
      <c r="A167">
        <v>1.6600000000000013</v>
      </c>
      <c r="B167">
        <v>0.16999999999999937</v>
      </c>
      <c r="C167">
        <v>0</v>
      </c>
      <c r="D167">
        <v>-0.33999999999999875</v>
      </c>
      <c r="E167">
        <v>0.66000000000000125</v>
      </c>
      <c r="F167" t="s">
        <v>102</v>
      </c>
      <c r="G167" t="s">
        <v>100</v>
      </c>
    </row>
    <row r="168" spans="1:7" x14ac:dyDescent="0.3">
      <c r="A168">
        <v>1.6700000000000013</v>
      </c>
      <c r="B168">
        <v>0.16499999999999937</v>
      </c>
      <c r="C168">
        <v>0</v>
      </c>
      <c r="D168">
        <v>-0.32999999999999874</v>
      </c>
      <c r="E168">
        <v>0.67000000000000126</v>
      </c>
      <c r="F168" t="s">
        <v>102</v>
      </c>
      <c r="G168" t="s">
        <v>100</v>
      </c>
    </row>
    <row r="169" spans="1:7" x14ac:dyDescent="0.3">
      <c r="A169">
        <v>1.6800000000000013</v>
      </c>
      <c r="B169">
        <v>0.15999999999999936</v>
      </c>
      <c r="C169">
        <v>0</v>
      </c>
      <c r="D169">
        <v>-0.31999999999999873</v>
      </c>
      <c r="E169">
        <v>0.68000000000000127</v>
      </c>
      <c r="F169" t="s">
        <v>102</v>
      </c>
      <c r="G169" t="s">
        <v>100</v>
      </c>
    </row>
    <row r="170" spans="1:7" x14ac:dyDescent="0.3">
      <c r="A170">
        <v>1.6900000000000013</v>
      </c>
      <c r="B170">
        <v>0.15499999999999936</v>
      </c>
      <c r="C170">
        <v>0</v>
      </c>
      <c r="D170">
        <v>-0.30999999999999872</v>
      </c>
      <c r="E170">
        <v>0.69000000000000128</v>
      </c>
      <c r="F170" t="s">
        <v>102</v>
      </c>
      <c r="G170" t="s">
        <v>100</v>
      </c>
    </row>
    <row r="171" spans="1:7" x14ac:dyDescent="0.3">
      <c r="A171">
        <v>1.7000000000000013</v>
      </c>
      <c r="B171">
        <v>0.14999999999999936</v>
      </c>
      <c r="C171">
        <v>0</v>
      </c>
      <c r="D171">
        <v>-0.29999999999999871</v>
      </c>
      <c r="E171">
        <v>0.70000000000000129</v>
      </c>
      <c r="F171" t="s">
        <v>102</v>
      </c>
      <c r="G171" t="s">
        <v>100</v>
      </c>
    </row>
    <row r="172" spans="1:7" x14ac:dyDescent="0.3">
      <c r="A172">
        <v>1.7100000000000013</v>
      </c>
      <c r="B172">
        <v>0.14499999999999935</v>
      </c>
      <c r="C172">
        <v>0</v>
      </c>
      <c r="D172">
        <v>-0.2899999999999987</v>
      </c>
      <c r="E172">
        <v>0.7100000000000013</v>
      </c>
      <c r="F172" t="s">
        <v>102</v>
      </c>
      <c r="G172" t="s">
        <v>100</v>
      </c>
    </row>
    <row r="173" spans="1:7" x14ac:dyDescent="0.3">
      <c r="A173">
        <v>1.7200000000000013</v>
      </c>
      <c r="B173">
        <v>0.13999999999999935</v>
      </c>
      <c r="C173">
        <v>0</v>
      </c>
      <c r="D173">
        <v>-0.27999999999999869</v>
      </c>
      <c r="E173">
        <v>0.72000000000000131</v>
      </c>
      <c r="F173" t="s">
        <v>102</v>
      </c>
      <c r="G173" t="s">
        <v>100</v>
      </c>
    </row>
    <row r="174" spans="1:7" x14ac:dyDescent="0.3">
      <c r="A174">
        <v>1.7300000000000013</v>
      </c>
      <c r="B174">
        <v>0.13499999999999934</v>
      </c>
      <c r="C174">
        <v>0</v>
      </c>
      <c r="D174">
        <v>-0.26999999999999869</v>
      </c>
      <c r="E174">
        <v>0.73000000000000131</v>
      </c>
      <c r="F174" t="s">
        <v>102</v>
      </c>
      <c r="G174" t="s">
        <v>100</v>
      </c>
    </row>
    <row r="175" spans="1:7" x14ac:dyDescent="0.3">
      <c r="A175">
        <v>1.7400000000000013</v>
      </c>
      <c r="B175">
        <v>0.12999999999999934</v>
      </c>
      <c r="C175">
        <v>0</v>
      </c>
      <c r="D175">
        <v>-0.25999999999999868</v>
      </c>
      <c r="E175">
        <v>0.74000000000000132</v>
      </c>
      <c r="F175" t="s">
        <v>102</v>
      </c>
      <c r="G175" t="s">
        <v>100</v>
      </c>
    </row>
    <row r="176" spans="1:7" x14ac:dyDescent="0.3">
      <c r="A176">
        <v>1.7500000000000013</v>
      </c>
      <c r="B176">
        <v>0.12499999999999933</v>
      </c>
      <c r="C176">
        <v>0</v>
      </c>
      <c r="D176">
        <v>-0.24999999999999867</v>
      </c>
      <c r="E176">
        <v>0.75000000000000133</v>
      </c>
      <c r="F176" t="s">
        <v>102</v>
      </c>
      <c r="G176" t="s">
        <v>100</v>
      </c>
    </row>
    <row r="177" spans="1:7" x14ac:dyDescent="0.3">
      <c r="A177">
        <v>1.7600000000000013</v>
      </c>
      <c r="B177">
        <v>0.11999999999999933</v>
      </c>
      <c r="C177">
        <v>0</v>
      </c>
      <c r="D177">
        <v>-0.23999999999999866</v>
      </c>
      <c r="E177">
        <v>0.76000000000000134</v>
      </c>
      <c r="F177" t="s">
        <v>102</v>
      </c>
      <c r="G177" t="s">
        <v>100</v>
      </c>
    </row>
    <row r="178" spans="1:7" x14ac:dyDescent="0.3">
      <c r="A178">
        <v>1.7700000000000014</v>
      </c>
      <c r="B178">
        <v>0.11499999999999932</v>
      </c>
      <c r="C178">
        <v>0</v>
      </c>
      <c r="D178">
        <v>-0.22999999999999865</v>
      </c>
      <c r="E178">
        <v>0.77000000000000135</v>
      </c>
      <c r="F178" t="s">
        <v>102</v>
      </c>
      <c r="G178" t="s">
        <v>100</v>
      </c>
    </row>
    <row r="179" spans="1:7" x14ac:dyDescent="0.3">
      <c r="A179">
        <v>1.7800000000000014</v>
      </c>
      <c r="B179">
        <v>0.10999999999999932</v>
      </c>
      <c r="C179">
        <v>0</v>
      </c>
      <c r="D179">
        <v>-0.21999999999999864</v>
      </c>
      <c r="E179">
        <v>0.78000000000000136</v>
      </c>
      <c r="F179" t="s">
        <v>102</v>
      </c>
      <c r="G179" t="s">
        <v>100</v>
      </c>
    </row>
    <row r="180" spans="1:7" x14ac:dyDescent="0.3">
      <c r="A180">
        <v>1.7900000000000014</v>
      </c>
      <c r="B180">
        <v>0.10499999999999932</v>
      </c>
      <c r="C180">
        <v>0</v>
      </c>
      <c r="D180">
        <v>-0.20999999999999863</v>
      </c>
      <c r="E180">
        <v>0.79000000000000137</v>
      </c>
      <c r="F180" t="s">
        <v>102</v>
      </c>
      <c r="G180" t="s">
        <v>100</v>
      </c>
    </row>
    <row r="181" spans="1:7" x14ac:dyDescent="0.3">
      <c r="A181">
        <v>1.8000000000000014</v>
      </c>
      <c r="B181">
        <v>9.9999999999999312E-2</v>
      </c>
      <c r="C181">
        <v>0</v>
      </c>
      <c r="D181">
        <v>-0.19999999999999862</v>
      </c>
      <c r="E181">
        <v>0.80000000000000138</v>
      </c>
      <c r="F181" t="s">
        <v>102</v>
      </c>
      <c r="G181" t="s">
        <v>100</v>
      </c>
    </row>
    <row r="182" spans="1:7" x14ac:dyDescent="0.3">
      <c r="A182">
        <v>1.8100000000000014</v>
      </c>
      <c r="B182">
        <v>9.4999999999999307E-2</v>
      </c>
      <c r="C182">
        <v>0</v>
      </c>
      <c r="D182">
        <v>-0.18999999999999861</v>
      </c>
      <c r="E182">
        <v>0.81000000000000139</v>
      </c>
      <c r="F182" t="s">
        <v>102</v>
      </c>
      <c r="G182" t="s">
        <v>100</v>
      </c>
    </row>
    <row r="183" spans="1:7" x14ac:dyDescent="0.3">
      <c r="A183">
        <v>1.8200000000000014</v>
      </c>
      <c r="B183">
        <v>8.9999999999999303E-2</v>
      </c>
      <c r="C183">
        <v>0</v>
      </c>
      <c r="D183">
        <v>-0.17999999999999861</v>
      </c>
      <c r="E183">
        <v>0.82000000000000139</v>
      </c>
      <c r="F183" t="s">
        <v>102</v>
      </c>
      <c r="G183" t="s">
        <v>100</v>
      </c>
    </row>
    <row r="184" spans="1:7" x14ac:dyDescent="0.3">
      <c r="A184">
        <v>1.8300000000000014</v>
      </c>
      <c r="B184">
        <v>8.4999999999999298E-2</v>
      </c>
      <c r="C184">
        <v>0</v>
      </c>
      <c r="D184">
        <v>-0.1699999999999986</v>
      </c>
      <c r="E184">
        <v>0.8300000000000014</v>
      </c>
      <c r="F184" t="s">
        <v>102</v>
      </c>
      <c r="G184" t="s">
        <v>100</v>
      </c>
    </row>
    <row r="185" spans="1:7" x14ac:dyDescent="0.3">
      <c r="A185">
        <v>1.8400000000000014</v>
      </c>
      <c r="B185">
        <v>7.9999999999999294E-2</v>
      </c>
      <c r="C185">
        <v>0</v>
      </c>
      <c r="D185">
        <v>-0.15999999999999859</v>
      </c>
      <c r="E185">
        <v>0.84000000000000141</v>
      </c>
      <c r="F185" t="s">
        <v>102</v>
      </c>
      <c r="G185" t="s">
        <v>100</v>
      </c>
    </row>
    <row r="186" spans="1:7" x14ac:dyDescent="0.3">
      <c r="A186">
        <v>1.8500000000000014</v>
      </c>
      <c r="B186">
        <v>7.4999999999999289E-2</v>
      </c>
      <c r="C186">
        <v>0</v>
      </c>
      <c r="D186">
        <v>-0.14999999999999858</v>
      </c>
      <c r="E186">
        <v>0.85000000000000142</v>
      </c>
      <c r="F186" t="s">
        <v>102</v>
      </c>
      <c r="G186" t="s">
        <v>100</v>
      </c>
    </row>
    <row r="187" spans="1:7" x14ac:dyDescent="0.3">
      <c r="A187">
        <v>1.8600000000000014</v>
      </c>
      <c r="B187">
        <v>6.9999999999999285E-2</v>
      </c>
      <c r="C187">
        <v>0</v>
      </c>
      <c r="D187">
        <v>-0.13999999999999857</v>
      </c>
      <c r="E187">
        <v>0.86000000000000143</v>
      </c>
      <c r="F187" t="s">
        <v>102</v>
      </c>
      <c r="G187" t="s">
        <v>100</v>
      </c>
    </row>
    <row r="188" spans="1:7" x14ac:dyDescent="0.3">
      <c r="A188">
        <v>1.8700000000000014</v>
      </c>
      <c r="B188">
        <v>6.4999999999999281E-2</v>
      </c>
      <c r="C188">
        <v>0</v>
      </c>
      <c r="D188">
        <v>-0.12999999999999856</v>
      </c>
      <c r="E188">
        <v>0.87000000000000144</v>
      </c>
      <c r="F188" t="s">
        <v>102</v>
      </c>
      <c r="G188" t="s">
        <v>100</v>
      </c>
    </row>
    <row r="189" spans="1:7" x14ac:dyDescent="0.3">
      <c r="A189">
        <v>1.8800000000000014</v>
      </c>
      <c r="B189">
        <v>5.9999999999999276E-2</v>
      </c>
      <c r="C189">
        <v>0</v>
      </c>
      <c r="D189">
        <v>-0.11999999999999855</v>
      </c>
      <c r="E189">
        <v>0.88000000000000145</v>
      </c>
      <c r="F189" t="s">
        <v>102</v>
      </c>
      <c r="G189" t="s">
        <v>100</v>
      </c>
    </row>
    <row r="190" spans="1:7" x14ac:dyDescent="0.3">
      <c r="A190">
        <v>1.8900000000000015</v>
      </c>
      <c r="B190">
        <v>5.4999999999999272E-2</v>
      </c>
      <c r="C190">
        <v>0</v>
      </c>
      <c r="D190">
        <v>-0.10999999999999854</v>
      </c>
      <c r="E190">
        <v>0.89000000000000146</v>
      </c>
      <c r="F190" t="s">
        <v>102</v>
      </c>
      <c r="G190" t="s">
        <v>100</v>
      </c>
    </row>
    <row r="191" spans="1:7" x14ac:dyDescent="0.3">
      <c r="A191">
        <v>1.9000000000000015</v>
      </c>
      <c r="B191">
        <v>4.9999999999999267E-2</v>
      </c>
      <c r="C191">
        <v>0</v>
      </c>
      <c r="D191">
        <v>-9.9999999999998535E-2</v>
      </c>
      <c r="E191">
        <v>0.90000000000000147</v>
      </c>
      <c r="F191" t="s">
        <v>102</v>
      </c>
      <c r="G191" t="s">
        <v>100</v>
      </c>
    </row>
    <row r="192" spans="1:7" x14ac:dyDescent="0.3">
      <c r="A192">
        <v>1.9100000000000015</v>
      </c>
      <c r="B192">
        <v>4.4999999999999263E-2</v>
      </c>
      <c r="C192">
        <v>0</v>
      </c>
      <c r="D192">
        <v>-8.9999999999998526E-2</v>
      </c>
      <c r="E192">
        <v>0.91000000000000147</v>
      </c>
      <c r="F192" t="s">
        <v>102</v>
      </c>
      <c r="G192" t="s">
        <v>100</v>
      </c>
    </row>
    <row r="193" spans="1:7" x14ac:dyDescent="0.3">
      <c r="A193">
        <v>1.9200000000000015</v>
      </c>
      <c r="B193">
        <v>3.9999999999999258E-2</v>
      </c>
      <c r="C193">
        <v>0</v>
      </c>
      <c r="D193">
        <v>-7.9999999999998517E-2</v>
      </c>
      <c r="E193">
        <v>0.92000000000000148</v>
      </c>
      <c r="F193" t="s">
        <v>102</v>
      </c>
      <c r="G193" t="s">
        <v>100</v>
      </c>
    </row>
    <row r="194" spans="1:7" x14ac:dyDescent="0.3">
      <c r="A194">
        <v>1.9300000000000015</v>
      </c>
      <c r="B194">
        <v>3.4999999999999254E-2</v>
      </c>
      <c r="C194">
        <v>0</v>
      </c>
      <c r="D194">
        <v>-6.9999999999998508E-2</v>
      </c>
      <c r="E194">
        <v>0.93000000000000149</v>
      </c>
      <c r="F194" t="s">
        <v>102</v>
      </c>
      <c r="G194" t="s">
        <v>100</v>
      </c>
    </row>
    <row r="195" spans="1:7" x14ac:dyDescent="0.3">
      <c r="A195">
        <v>1.9400000000000015</v>
      </c>
      <c r="B195">
        <v>2.9999999999999249E-2</v>
      </c>
      <c r="C195">
        <v>0</v>
      </c>
      <c r="D195">
        <v>-5.9999999999998499E-2</v>
      </c>
      <c r="E195">
        <v>0.9400000000000015</v>
      </c>
      <c r="F195" t="s">
        <v>102</v>
      </c>
      <c r="G195" t="s">
        <v>100</v>
      </c>
    </row>
    <row r="196" spans="1:7" x14ac:dyDescent="0.3">
      <c r="A196">
        <v>1.9500000000000015</v>
      </c>
      <c r="B196">
        <v>2.4999999999999245E-2</v>
      </c>
      <c r="C196">
        <v>0</v>
      </c>
      <c r="D196">
        <v>-4.999999999999849E-2</v>
      </c>
      <c r="E196">
        <v>0.95000000000000151</v>
      </c>
      <c r="F196" t="s">
        <v>102</v>
      </c>
      <c r="G196" t="s">
        <v>100</v>
      </c>
    </row>
    <row r="197" spans="1:7" x14ac:dyDescent="0.3">
      <c r="A197">
        <v>1.9600000000000015</v>
      </c>
      <c r="B197">
        <v>1.9999999999999241E-2</v>
      </c>
      <c r="C197">
        <v>0</v>
      </c>
      <c r="D197">
        <v>-3.9999999999998481E-2</v>
      </c>
      <c r="E197">
        <v>0.96000000000000152</v>
      </c>
      <c r="F197" t="s">
        <v>102</v>
      </c>
      <c r="G197" t="s">
        <v>100</v>
      </c>
    </row>
    <row r="198" spans="1:7" x14ac:dyDescent="0.3">
      <c r="A198">
        <v>1.9700000000000015</v>
      </c>
      <c r="B198">
        <v>1.4999999999999236E-2</v>
      </c>
      <c r="C198">
        <v>0</v>
      </c>
      <c r="D198">
        <v>-2.9999999999998472E-2</v>
      </c>
      <c r="E198">
        <v>0.97000000000000153</v>
      </c>
      <c r="F198" t="s">
        <v>102</v>
      </c>
      <c r="G198" t="s">
        <v>100</v>
      </c>
    </row>
    <row r="199" spans="1:7" x14ac:dyDescent="0.3">
      <c r="A199">
        <v>1.9800000000000015</v>
      </c>
      <c r="B199">
        <v>9.9999999999992317E-3</v>
      </c>
      <c r="C199">
        <v>0</v>
      </c>
      <c r="D199">
        <v>-1.9999999999998463E-2</v>
      </c>
      <c r="E199">
        <v>0.98000000000000154</v>
      </c>
      <c r="F199" t="s">
        <v>102</v>
      </c>
      <c r="G199" t="s">
        <v>100</v>
      </c>
    </row>
    <row r="200" spans="1:7" x14ac:dyDescent="0.3">
      <c r="A200">
        <v>1.9900000000000015</v>
      </c>
      <c r="B200">
        <v>4.9999999999992273E-3</v>
      </c>
      <c r="C200">
        <v>0</v>
      </c>
      <c r="D200">
        <v>-9.9999999999984546E-3</v>
      </c>
      <c r="E200">
        <v>0.99000000000000155</v>
      </c>
      <c r="F200" t="s">
        <v>102</v>
      </c>
      <c r="G200" t="s">
        <v>100</v>
      </c>
    </row>
    <row r="201" spans="1:7" x14ac:dyDescent="0.3">
      <c r="A201">
        <v>2.0000000000000013</v>
      </c>
      <c r="B201">
        <v>-6.6613381477509392E-16</v>
      </c>
      <c r="C201">
        <v>0</v>
      </c>
      <c r="D201">
        <v>1.3322676295501878E-15</v>
      </c>
      <c r="E201">
        <v>0.99999999999999867</v>
      </c>
      <c r="F201" t="s">
        <v>103</v>
      </c>
      <c r="G201" t="s">
        <v>101</v>
      </c>
    </row>
    <row r="202" spans="1:7" x14ac:dyDescent="0.3">
      <c r="A202">
        <v>2.0100000000000011</v>
      </c>
      <c r="B202">
        <v>-5.0000000000005596E-3</v>
      </c>
      <c r="C202">
        <v>0</v>
      </c>
      <c r="D202">
        <v>1.0000000000001119E-2</v>
      </c>
      <c r="E202">
        <v>0.98999999999999888</v>
      </c>
      <c r="F202" t="s">
        <v>103</v>
      </c>
      <c r="G202" t="s">
        <v>101</v>
      </c>
    </row>
    <row r="203" spans="1:7" x14ac:dyDescent="0.3">
      <c r="A203">
        <v>2.0200000000000009</v>
      </c>
      <c r="B203">
        <v>-1.0000000000000453E-2</v>
      </c>
      <c r="C203">
        <v>0</v>
      </c>
      <c r="D203">
        <v>2.0000000000000906E-2</v>
      </c>
      <c r="E203">
        <v>0.97999999999999909</v>
      </c>
      <c r="F203" t="s">
        <v>103</v>
      </c>
      <c r="G203" t="s">
        <v>101</v>
      </c>
    </row>
    <row r="204" spans="1:7" x14ac:dyDescent="0.3">
      <c r="A204">
        <v>2.0300000000000007</v>
      </c>
      <c r="B204">
        <v>-1.5000000000000346E-2</v>
      </c>
      <c r="C204">
        <v>0</v>
      </c>
      <c r="D204">
        <v>3.0000000000000693E-2</v>
      </c>
      <c r="E204">
        <v>0.96999999999999931</v>
      </c>
      <c r="F204" t="s">
        <v>103</v>
      </c>
      <c r="G204" t="s">
        <v>101</v>
      </c>
    </row>
    <row r="205" spans="1:7" x14ac:dyDescent="0.3">
      <c r="A205">
        <v>2.0400000000000005</v>
      </c>
      <c r="B205">
        <v>-2.000000000000024E-2</v>
      </c>
      <c r="C205">
        <v>0</v>
      </c>
      <c r="D205">
        <v>4.000000000000048E-2</v>
      </c>
      <c r="E205">
        <v>0.95999999999999952</v>
      </c>
      <c r="F205" t="s">
        <v>103</v>
      </c>
      <c r="G205" t="s">
        <v>101</v>
      </c>
    </row>
    <row r="206" spans="1:7" x14ac:dyDescent="0.3">
      <c r="A206">
        <v>2.0500000000000003</v>
      </c>
      <c r="B206">
        <v>-2.5000000000000133E-2</v>
      </c>
      <c r="C206">
        <v>0</v>
      </c>
      <c r="D206">
        <v>5.0000000000000266E-2</v>
      </c>
      <c r="E206">
        <v>0.94999999999999973</v>
      </c>
      <c r="F206" t="s">
        <v>103</v>
      </c>
      <c r="G206" t="s">
        <v>101</v>
      </c>
    </row>
    <row r="207" spans="1:7" x14ac:dyDescent="0.3">
      <c r="A207">
        <v>2.06</v>
      </c>
      <c r="B207">
        <v>-3.0000000000000027E-2</v>
      </c>
      <c r="C207">
        <v>0</v>
      </c>
      <c r="D207">
        <v>6.0000000000000053E-2</v>
      </c>
      <c r="E207">
        <v>0.94</v>
      </c>
      <c r="F207" t="s">
        <v>103</v>
      </c>
      <c r="G207" t="s">
        <v>101</v>
      </c>
    </row>
    <row r="208" spans="1:7" x14ac:dyDescent="0.3">
      <c r="A208">
        <v>2.0699999999999998</v>
      </c>
      <c r="B208">
        <v>-3.499999999999992E-2</v>
      </c>
      <c r="C208">
        <v>0</v>
      </c>
      <c r="D208">
        <v>6.999999999999984E-2</v>
      </c>
      <c r="E208">
        <v>0.93000000000000016</v>
      </c>
      <c r="F208" t="s">
        <v>103</v>
      </c>
      <c r="G208" t="s">
        <v>101</v>
      </c>
    </row>
    <row r="209" spans="1:7" x14ac:dyDescent="0.3">
      <c r="A209">
        <v>2.0799999999999996</v>
      </c>
      <c r="B209">
        <v>-3.9999999999999813E-2</v>
      </c>
      <c r="C209">
        <v>0</v>
      </c>
      <c r="D209">
        <v>7.9999999999999627E-2</v>
      </c>
      <c r="E209">
        <v>0.92000000000000037</v>
      </c>
      <c r="F209" t="s">
        <v>103</v>
      </c>
      <c r="G209" t="s">
        <v>101</v>
      </c>
    </row>
    <row r="210" spans="1:7" x14ac:dyDescent="0.3">
      <c r="A210">
        <v>2.0899999999999994</v>
      </c>
      <c r="B210">
        <v>-4.4999999999999707E-2</v>
      </c>
      <c r="C210">
        <v>0</v>
      </c>
      <c r="D210">
        <v>8.9999999999999414E-2</v>
      </c>
      <c r="E210">
        <v>0.91000000000000059</v>
      </c>
      <c r="F210" t="s">
        <v>103</v>
      </c>
      <c r="G210" t="s">
        <v>101</v>
      </c>
    </row>
    <row r="211" spans="1:7" x14ac:dyDescent="0.3">
      <c r="A211">
        <v>2.0999999999999992</v>
      </c>
      <c r="B211">
        <v>-4.99999999999996E-2</v>
      </c>
      <c r="C211">
        <v>0</v>
      </c>
      <c r="D211">
        <v>9.9999999999999201E-2</v>
      </c>
      <c r="E211">
        <v>0.9000000000000008</v>
      </c>
      <c r="F211" t="s">
        <v>103</v>
      </c>
      <c r="G211" t="s">
        <v>101</v>
      </c>
    </row>
    <row r="212" spans="1:7" x14ac:dyDescent="0.3">
      <c r="A212">
        <v>2.109999999999999</v>
      </c>
      <c r="B212">
        <v>-5.4999999999999494E-2</v>
      </c>
      <c r="C212">
        <v>0</v>
      </c>
      <c r="D212">
        <v>0.10999999999999899</v>
      </c>
      <c r="E212">
        <v>0.89000000000000101</v>
      </c>
      <c r="F212" t="s">
        <v>103</v>
      </c>
      <c r="G212" t="s">
        <v>101</v>
      </c>
    </row>
    <row r="213" spans="1:7" x14ac:dyDescent="0.3">
      <c r="A213">
        <v>2.1199999999999988</v>
      </c>
      <c r="B213">
        <v>-5.9999999999999387E-2</v>
      </c>
      <c r="C213">
        <v>0</v>
      </c>
      <c r="D213">
        <v>0.11999999999999877</v>
      </c>
      <c r="E213">
        <v>0.88000000000000123</v>
      </c>
      <c r="F213" t="s">
        <v>103</v>
      </c>
      <c r="G213" t="s">
        <v>101</v>
      </c>
    </row>
    <row r="214" spans="1:7" x14ac:dyDescent="0.3">
      <c r="A214">
        <v>2.1299999999999986</v>
      </c>
      <c r="B214">
        <v>-6.4999999999999281E-2</v>
      </c>
      <c r="C214">
        <v>0</v>
      </c>
      <c r="D214">
        <v>0.12999999999999856</v>
      </c>
      <c r="E214">
        <v>0.87000000000000144</v>
      </c>
      <c r="F214" t="s">
        <v>103</v>
      </c>
      <c r="G214" t="s">
        <v>101</v>
      </c>
    </row>
    <row r="215" spans="1:7" x14ac:dyDescent="0.3">
      <c r="A215">
        <v>2.1399999999999983</v>
      </c>
      <c r="B215">
        <v>-6.9999999999999174E-2</v>
      </c>
      <c r="C215">
        <v>0</v>
      </c>
      <c r="D215">
        <v>0.13999999999999835</v>
      </c>
      <c r="E215">
        <v>0.86000000000000165</v>
      </c>
      <c r="F215" t="s">
        <v>103</v>
      </c>
      <c r="G215" t="s">
        <v>101</v>
      </c>
    </row>
    <row r="216" spans="1:7" x14ac:dyDescent="0.3">
      <c r="A216">
        <v>2.1499999999999981</v>
      </c>
      <c r="B216">
        <v>-7.4999999999999067E-2</v>
      </c>
      <c r="C216">
        <v>0</v>
      </c>
      <c r="D216">
        <v>0.14999999999999813</v>
      </c>
      <c r="E216">
        <v>0.85000000000000187</v>
      </c>
      <c r="F216" t="s">
        <v>103</v>
      </c>
      <c r="G216" t="s">
        <v>101</v>
      </c>
    </row>
    <row r="217" spans="1:7" x14ac:dyDescent="0.3">
      <c r="A217">
        <v>2.1599999999999979</v>
      </c>
      <c r="B217">
        <v>-7.9999999999998961E-2</v>
      </c>
      <c r="C217">
        <v>0</v>
      </c>
      <c r="D217">
        <v>0.15999999999999792</v>
      </c>
      <c r="E217">
        <v>0.84000000000000208</v>
      </c>
      <c r="F217" t="s">
        <v>103</v>
      </c>
      <c r="G217" t="s">
        <v>101</v>
      </c>
    </row>
    <row r="218" spans="1:7" x14ac:dyDescent="0.3">
      <c r="A218">
        <v>2.1699999999999977</v>
      </c>
      <c r="B218">
        <v>-8.4999999999998854E-2</v>
      </c>
      <c r="C218">
        <v>0</v>
      </c>
      <c r="D218">
        <v>0.16999999999999771</v>
      </c>
      <c r="E218">
        <v>0.83000000000000229</v>
      </c>
      <c r="F218" t="s">
        <v>103</v>
      </c>
      <c r="G218" t="s">
        <v>101</v>
      </c>
    </row>
    <row r="219" spans="1:7" x14ac:dyDescent="0.3">
      <c r="A219">
        <v>2.1799999999999975</v>
      </c>
      <c r="B219">
        <v>-8.9999999999998748E-2</v>
      </c>
      <c r="C219">
        <v>0</v>
      </c>
      <c r="D219">
        <v>0.1799999999999975</v>
      </c>
      <c r="E219">
        <v>0.8200000000000025</v>
      </c>
      <c r="F219" t="s">
        <v>103</v>
      </c>
      <c r="G219" t="s">
        <v>101</v>
      </c>
    </row>
    <row r="220" spans="1:7" x14ac:dyDescent="0.3">
      <c r="A220">
        <v>2.1899999999999973</v>
      </c>
      <c r="B220">
        <v>-9.4999999999998641E-2</v>
      </c>
      <c r="C220">
        <v>0</v>
      </c>
      <c r="D220">
        <v>0.18999999999999728</v>
      </c>
      <c r="E220">
        <v>0.81000000000000272</v>
      </c>
      <c r="F220" t="s">
        <v>103</v>
      </c>
      <c r="G220" t="s">
        <v>101</v>
      </c>
    </row>
    <row r="221" spans="1:7" x14ac:dyDescent="0.3">
      <c r="A221">
        <v>2.1999999999999971</v>
      </c>
      <c r="B221">
        <v>-9.9999999999998535E-2</v>
      </c>
      <c r="C221">
        <v>0</v>
      </c>
      <c r="D221">
        <v>0.19999999999999707</v>
      </c>
      <c r="E221">
        <v>0.80000000000000293</v>
      </c>
      <c r="F221" t="s">
        <v>103</v>
      </c>
      <c r="G221" t="s">
        <v>101</v>
      </c>
    </row>
    <row r="222" spans="1:7" x14ac:dyDescent="0.3">
      <c r="A222">
        <v>2.2099999999999969</v>
      </c>
      <c r="B222">
        <v>-0.10499999999999843</v>
      </c>
      <c r="C222">
        <v>0</v>
      </c>
      <c r="D222">
        <v>0.20999999999999686</v>
      </c>
      <c r="E222">
        <v>0.79000000000000314</v>
      </c>
      <c r="F222" t="s">
        <v>103</v>
      </c>
      <c r="G222" t="s">
        <v>101</v>
      </c>
    </row>
    <row r="223" spans="1:7" x14ac:dyDescent="0.3">
      <c r="A223">
        <v>2.2199999999999966</v>
      </c>
      <c r="B223">
        <v>-0.10999999999999832</v>
      </c>
      <c r="C223">
        <v>0</v>
      </c>
      <c r="D223">
        <v>0.21999999999999664</v>
      </c>
      <c r="E223">
        <v>0.78000000000000336</v>
      </c>
      <c r="F223" t="s">
        <v>103</v>
      </c>
      <c r="G223" t="s">
        <v>101</v>
      </c>
    </row>
    <row r="224" spans="1:7" x14ac:dyDescent="0.3">
      <c r="A224">
        <v>2.2299999999999964</v>
      </c>
      <c r="B224">
        <v>-0.11499999999999821</v>
      </c>
      <c r="C224">
        <v>0</v>
      </c>
      <c r="D224">
        <v>0.22999999999999643</v>
      </c>
      <c r="E224">
        <v>0.77000000000000357</v>
      </c>
      <c r="F224" t="s">
        <v>103</v>
      </c>
      <c r="G224" t="s">
        <v>101</v>
      </c>
    </row>
    <row r="225" spans="1:7" x14ac:dyDescent="0.3">
      <c r="A225">
        <v>2.2399999999999962</v>
      </c>
      <c r="B225">
        <v>-0.11999999999999811</v>
      </c>
      <c r="C225">
        <v>0</v>
      </c>
      <c r="D225">
        <v>0.23999999999999622</v>
      </c>
      <c r="E225">
        <v>0.76000000000000378</v>
      </c>
      <c r="F225" t="s">
        <v>103</v>
      </c>
      <c r="G225" t="s">
        <v>101</v>
      </c>
    </row>
    <row r="226" spans="1:7" x14ac:dyDescent="0.3">
      <c r="A226">
        <v>2.249999999999996</v>
      </c>
      <c r="B226">
        <v>-0.124999999999998</v>
      </c>
      <c r="C226">
        <v>0</v>
      </c>
      <c r="D226">
        <v>0.249999999999996</v>
      </c>
      <c r="E226">
        <v>0.750000000000004</v>
      </c>
      <c r="F226" t="s">
        <v>103</v>
      </c>
      <c r="G226" t="s">
        <v>101</v>
      </c>
    </row>
    <row r="227" spans="1:7" x14ac:dyDescent="0.3">
      <c r="A227">
        <v>2.2599999999999958</v>
      </c>
      <c r="B227">
        <v>-0.1299999999999979</v>
      </c>
      <c r="C227">
        <v>0</v>
      </c>
      <c r="D227">
        <v>0.25999999999999579</v>
      </c>
      <c r="E227">
        <v>0.74000000000000421</v>
      </c>
      <c r="F227" t="s">
        <v>103</v>
      </c>
      <c r="G227" t="s">
        <v>101</v>
      </c>
    </row>
    <row r="228" spans="1:7" x14ac:dyDescent="0.3">
      <c r="A228">
        <v>2.2699999999999956</v>
      </c>
      <c r="B228">
        <v>-0.13499999999999779</v>
      </c>
      <c r="C228">
        <v>0</v>
      </c>
      <c r="D228">
        <v>0.26999999999999558</v>
      </c>
      <c r="E228">
        <v>0.73000000000000442</v>
      </c>
      <c r="F228" t="s">
        <v>103</v>
      </c>
      <c r="G228" t="s">
        <v>101</v>
      </c>
    </row>
    <row r="229" spans="1:7" x14ac:dyDescent="0.3">
      <c r="A229">
        <v>2.2799999999999954</v>
      </c>
      <c r="B229">
        <v>-0.13999999999999768</v>
      </c>
      <c r="C229">
        <v>0</v>
      </c>
      <c r="D229">
        <v>0.27999999999999536</v>
      </c>
      <c r="E229">
        <v>0.72000000000000464</v>
      </c>
      <c r="F229" t="s">
        <v>103</v>
      </c>
      <c r="G229" t="s">
        <v>101</v>
      </c>
    </row>
    <row r="230" spans="1:7" x14ac:dyDescent="0.3">
      <c r="A230">
        <v>2.2899999999999952</v>
      </c>
      <c r="B230">
        <v>-0.14499999999999758</v>
      </c>
      <c r="C230">
        <v>0</v>
      </c>
      <c r="D230">
        <v>0.28999999999999515</v>
      </c>
      <c r="E230">
        <v>0.71000000000000485</v>
      </c>
      <c r="F230" t="s">
        <v>103</v>
      </c>
      <c r="G230" t="s">
        <v>101</v>
      </c>
    </row>
    <row r="231" spans="1:7" x14ac:dyDescent="0.3">
      <c r="A231">
        <v>2.2999999999999949</v>
      </c>
      <c r="B231">
        <v>-0.14999999999999747</v>
      </c>
      <c r="C231">
        <v>0</v>
      </c>
      <c r="D231">
        <v>0.29999999999999494</v>
      </c>
      <c r="E231">
        <v>0.70000000000000506</v>
      </c>
      <c r="F231" t="s">
        <v>103</v>
      </c>
      <c r="G231" t="s">
        <v>101</v>
      </c>
    </row>
    <row r="232" spans="1:7" x14ac:dyDescent="0.3">
      <c r="A232">
        <v>2.3099999999999947</v>
      </c>
      <c r="B232">
        <v>-0.15499999999999736</v>
      </c>
      <c r="C232">
        <v>0</v>
      </c>
      <c r="D232">
        <v>0.30999999999999472</v>
      </c>
      <c r="E232">
        <v>0.69000000000000528</v>
      </c>
      <c r="F232" t="s">
        <v>103</v>
      </c>
      <c r="G232" t="s">
        <v>101</v>
      </c>
    </row>
    <row r="233" spans="1:7" x14ac:dyDescent="0.3">
      <c r="A233">
        <v>2.3199999999999945</v>
      </c>
      <c r="B233">
        <v>-0.15999999999999726</v>
      </c>
      <c r="C233">
        <v>0</v>
      </c>
      <c r="D233">
        <v>0.31999999999999451</v>
      </c>
      <c r="E233">
        <v>0.68000000000000549</v>
      </c>
      <c r="F233" t="s">
        <v>103</v>
      </c>
      <c r="G233" t="s">
        <v>101</v>
      </c>
    </row>
    <row r="234" spans="1:7" x14ac:dyDescent="0.3">
      <c r="A234">
        <v>2.3299999999999943</v>
      </c>
      <c r="B234">
        <v>-0.16499999999999715</v>
      </c>
      <c r="C234">
        <v>0</v>
      </c>
      <c r="D234">
        <v>0.3299999999999943</v>
      </c>
      <c r="E234">
        <v>0.6700000000000057</v>
      </c>
      <c r="F234" t="s">
        <v>103</v>
      </c>
      <c r="G234" t="s">
        <v>101</v>
      </c>
    </row>
    <row r="235" spans="1:7" x14ac:dyDescent="0.3">
      <c r="A235">
        <v>2.3399999999999941</v>
      </c>
      <c r="B235">
        <v>-0.16999999999999704</v>
      </c>
      <c r="C235">
        <v>0</v>
      </c>
      <c r="D235">
        <v>0.33999999999999408</v>
      </c>
      <c r="E235">
        <v>0.66000000000000592</v>
      </c>
      <c r="F235" t="s">
        <v>103</v>
      </c>
      <c r="G235" t="s">
        <v>101</v>
      </c>
    </row>
    <row r="236" spans="1:7" x14ac:dyDescent="0.3">
      <c r="A236">
        <v>2.3499999999999939</v>
      </c>
      <c r="B236">
        <v>-0.17499999999999694</v>
      </c>
      <c r="C236">
        <v>0</v>
      </c>
      <c r="D236">
        <v>0.34999999999999387</v>
      </c>
      <c r="E236">
        <v>0.65000000000000613</v>
      </c>
      <c r="F236" t="s">
        <v>103</v>
      </c>
      <c r="G236" t="s">
        <v>101</v>
      </c>
    </row>
    <row r="237" spans="1:7" x14ac:dyDescent="0.3">
      <c r="A237">
        <v>2.3599999999999937</v>
      </c>
      <c r="B237">
        <v>-0.17999999999999683</v>
      </c>
      <c r="C237">
        <v>0</v>
      </c>
      <c r="D237">
        <v>0.35999999999999366</v>
      </c>
      <c r="E237">
        <v>0.64000000000000634</v>
      </c>
      <c r="F237" t="s">
        <v>103</v>
      </c>
      <c r="G237" t="s">
        <v>101</v>
      </c>
    </row>
    <row r="238" spans="1:7" x14ac:dyDescent="0.3">
      <c r="A238">
        <v>2.3699999999999934</v>
      </c>
      <c r="B238">
        <v>-0.18499999999999672</v>
      </c>
      <c r="C238">
        <v>0</v>
      </c>
      <c r="D238">
        <v>0.36999999999999345</v>
      </c>
      <c r="E238">
        <v>0.63000000000000655</v>
      </c>
      <c r="F238" t="s">
        <v>103</v>
      </c>
      <c r="G238" t="s">
        <v>101</v>
      </c>
    </row>
    <row r="239" spans="1:7" x14ac:dyDescent="0.3">
      <c r="A239">
        <v>2.3799999999999932</v>
      </c>
      <c r="B239">
        <v>-0.18999999999999662</v>
      </c>
      <c r="C239">
        <v>0</v>
      </c>
      <c r="D239">
        <v>0.37999999999999323</v>
      </c>
      <c r="E239">
        <v>0.62000000000000677</v>
      </c>
      <c r="F239" t="s">
        <v>103</v>
      </c>
      <c r="G239" t="s">
        <v>101</v>
      </c>
    </row>
    <row r="240" spans="1:7" x14ac:dyDescent="0.3">
      <c r="A240">
        <v>2.389999999999993</v>
      </c>
      <c r="B240">
        <v>-0.19499999999999651</v>
      </c>
      <c r="C240">
        <v>0</v>
      </c>
      <c r="D240">
        <v>0.38999999999999302</v>
      </c>
      <c r="E240">
        <v>0.61000000000000698</v>
      </c>
      <c r="F240" t="s">
        <v>103</v>
      </c>
      <c r="G240" t="s">
        <v>101</v>
      </c>
    </row>
    <row r="241" spans="1:7" x14ac:dyDescent="0.3">
      <c r="A241">
        <v>2.3999999999999928</v>
      </c>
      <c r="B241">
        <v>-0.1999999999999964</v>
      </c>
      <c r="C241">
        <v>0</v>
      </c>
      <c r="D241">
        <v>0.39999999999999281</v>
      </c>
      <c r="E241">
        <v>0.60000000000000719</v>
      </c>
      <c r="F241" t="s">
        <v>103</v>
      </c>
      <c r="G241" t="s">
        <v>101</v>
      </c>
    </row>
    <row r="242" spans="1:7" x14ac:dyDescent="0.3">
      <c r="A242">
        <v>2.4099999999999926</v>
      </c>
      <c r="B242">
        <v>-0.2049999999999963</v>
      </c>
      <c r="C242">
        <v>0</v>
      </c>
      <c r="D242">
        <v>0.40999999999999259</v>
      </c>
      <c r="E242">
        <v>0.59000000000000741</v>
      </c>
      <c r="F242" t="s">
        <v>103</v>
      </c>
      <c r="G242" t="s">
        <v>101</v>
      </c>
    </row>
    <row r="243" spans="1:7" x14ac:dyDescent="0.3">
      <c r="A243">
        <v>2.4199999999999924</v>
      </c>
      <c r="B243">
        <v>-0.20999999999999619</v>
      </c>
      <c r="C243">
        <v>0</v>
      </c>
      <c r="D243">
        <v>0.41999999999999238</v>
      </c>
      <c r="E243">
        <v>0.58000000000000762</v>
      </c>
      <c r="F243" t="s">
        <v>103</v>
      </c>
      <c r="G243" t="s">
        <v>101</v>
      </c>
    </row>
    <row r="244" spans="1:7" x14ac:dyDescent="0.3">
      <c r="A244">
        <v>2.4299999999999922</v>
      </c>
      <c r="B244">
        <v>-0.21499999999999608</v>
      </c>
      <c r="C244">
        <v>0</v>
      </c>
      <c r="D244">
        <v>0.42999999999999217</v>
      </c>
      <c r="E244">
        <v>0.57000000000000783</v>
      </c>
      <c r="F244" t="s">
        <v>103</v>
      </c>
      <c r="G244" t="s">
        <v>101</v>
      </c>
    </row>
    <row r="245" spans="1:7" x14ac:dyDescent="0.3">
      <c r="A245">
        <v>2.439999999999992</v>
      </c>
      <c r="B245">
        <v>-0.21999999999999598</v>
      </c>
      <c r="C245">
        <v>0</v>
      </c>
      <c r="D245">
        <v>0.43999999999999195</v>
      </c>
      <c r="E245">
        <v>0.56000000000000805</v>
      </c>
      <c r="F245" t="s">
        <v>103</v>
      </c>
      <c r="G245" t="s">
        <v>101</v>
      </c>
    </row>
    <row r="246" spans="1:7" x14ac:dyDescent="0.3">
      <c r="A246">
        <v>2.4499999999999917</v>
      </c>
      <c r="B246">
        <v>-0.22499999999999587</v>
      </c>
      <c r="C246">
        <v>0</v>
      </c>
      <c r="D246">
        <v>0.44999999999999174</v>
      </c>
      <c r="E246">
        <v>0.55000000000000826</v>
      </c>
      <c r="F246" t="s">
        <v>103</v>
      </c>
      <c r="G246" t="s">
        <v>101</v>
      </c>
    </row>
    <row r="247" spans="1:7" x14ac:dyDescent="0.3">
      <c r="A247">
        <v>2.4599999999999915</v>
      </c>
      <c r="B247">
        <v>-0.22999999999999576</v>
      </c>
      <c r="C247">
        <v>0</v>
      </c>
      <c r="D247">
        <v>0.45999999999999153</v>
      </c>
      <c r="E247">
        <v>0.54000000000000847</v>
      </c>
      <c r="F247" t="s">
        <v>103</v>
      </c>
      <c r="G247" t="s">
        <v>101</v>
      </c>
    </row>
    <row r="248" spans="1:7" x14ac:dyDescent="0.3">
      <c r="A248">
        <v>2.4699999999999913</v>
      </c>
      <c r="B248">
        <v>-0.23499999999999566</v>
      </c>
      <c r="C248">
        <v>0</v>
      </c>
      <c r="D248">
        <v>0.46999999999999131</v>
      </c>
      <c r="E248">
        <v>0.53000000000000869</v>
      </c>
      <c r="F248" t="s">
        <v>103</v>
      </c>
      <c r="G248" t="s">
        <v>101</v>
      </c>
    </row>
    <row r="249" spans="1:7" x14ac:dyDescent="0.3">
      <c r="A249">
        <v>2.4799999999999911</v>
      </c>
      <c r="B249">
        <v>-0.23999999999999555</v>
      </c>
      <c r="C249">
        <v>0</v>
      </c>
      <c r="D249">
        <v>0.4799999999999911</v>
      </c>
      <c r="E249">
        <v>0.5200000000000089</v>
      </c>
      <c r="F249" t="s">
        <v>103</v>
      </c>
      <c r="G249" t="s">
        <v>101</v>
      </c>
    </row>
    <row r="250" spans="1:7" x14ac:dyDescent="0.3">
      <c r="A250">
        <v>2.4899999999999909</v>
      </c>
      <c r="B250">
        <v>-0.24499999999999544</v>
      </c>
      <c r="C250">
        <v>0</v>
      </c>
      <c r="D250">
        <v>0.48999999999999089</v>
      </c>
      <c r="E250">
        <v>0.51000000000000911</v>
      </c>
      <c r="F250" t="s">
        <v>103</v>
      </c>
      <c r="G250" t="s">
        <v>101</v>
      </c>
    </row>
    <row r="251" spans="1:7" x14ac:dyDescent="0.3">
      <c r="A251">
        <v>2.4999999999999907</v>
      </c>
      <c r="B251">
        <v>-0.24999999999999534</v>
      </c>
      <c r="C251">
        <v>0</v>
      </c>
      <c r="D251">
        <v>0.49999999999999067</v>
      </c>
      <c r="E251">
        <v>0.50000000000000933</v>
      </c>
      <c r="F251" t="s">
        <v>103</v>
      </c>
      <c r="G251" t="s">
        <v>101</v>
      </c>
    </row>
    <row r="252" spans="1:7" x14ac:dyDescent="0.3">
      <c r="A252">
        <v>2.5099999999999905</v>
      </c>
      <c r="B252">
        <v>-0.25499999999999523</v>
      </c>
      <c r="C252">
        <v>0</v>
      </c>
      <c r="D252">
        <v>0.50999999999999046</v>
      </c>
      <c r="E252">
        <v>0.49000000000000954</v>
      </c>
      <c r="F252" t="s">
        <v>103</v>
      </c>
      <c r="G252" t="s">
        <v>101</v>
      </c>
    </row>
    <row r="253" spans="1:7" x14ac:dyDescent="0.3">
      <c r="A253">
        <v>2.5199999999999902</v>
      </c>
      <c r="B253">
        <v>-0.25999999999999512</v>
      </c>
      <c r="C253">
        <v>0</v>
      </c>
      <c r="D253">
        <v>0.51999999999999025</v>
      </c>
      <c r="E253">
        <v>0.48000000000000975</v>
      </c>
      <c r="F253" t="s">
        <v>103</v>
      </c>
      <c r="G253" t="s">
        <v>101</v>
      </c>
    </row>
    <row r="254" spans="1:7" x14ac:dyDescent="0.3">
      <c r="A254">
        <v>2.52999999999999</v>
      </c>
      <c r="B254">
        <v>-0.26499999999999502</v>
      </c>
      <c r="C254">
        <v>0</v>
      </c>
      <c r="D254">
        <v>0.52999999999999003</v>
      </c>
      <c r="E254">
        <v>0.47000000000000997</v>
      </c>
      <c r="F254" t="s">
        <v>103</v>
      </c>
      <c r="G254" t="s">
        <v>101</v>
      </c>
    </row>
    <row r="255" spans="1:7" x14ac:dyDescent="0.3">
      <c r="A255">
        <v>2.5399999999999898</v>
      </c>
      <c r="B255">
        <v>-0.26999999999999491</v>
      </c>
      <c r="C255">
        <v>0</v>
      </c>
      <c r="D255">
        <v>0.53999999999998982</v>
      </c>
      <c r="E255">
        <v>0.46000000000001018</v>
      </c>
      <c r="F255" t="s">
        <v>103</v>
      </c>
      <c r="G255" t="s">
        <v>101</v>
      </c>
    </row>
    <row r="256" spans="1:7" x14ac:dyDescent="0.3">
      <c r="A256">
        <v>2.5499999999999896</v>
      </c>
      <c r="B256">
        <v>-0.2749999999999948</v>
      </c>
      <c r="C256">
        <v>0</v>
      </c>
      <c r="D256">
        <v>0.54999999999998961</v>
      </c>
      <c r="E256">
        <v>0.45000000000001039</v>
      </c>
      <c r="F256" t="s">
        <v>103</v>
      </c>
      <c r="G256" t="s">
        <v>101</v>
      </c>
    </row>
    <row r="257" spans="1:7" x14ac:dyDescent="0.3">
      <c r="A257">
        <v>2.5599999999999894</v>
      </c>
      <c r="B257">
        <v>-0.2799999999999947</v>
      </c>
      <c r="C257">
        <v>0</v>
      </c>
      <c r="D257">
        <v>0.5599999999999894</v>
      </c>
      <c r="E257">
        <v>0.4400000000000106</v>
      </c>
      <c r="F257" t="s">
        <v>103</v>
      </c>
      <c r="G257" t="s">
        <v>101</v>
      </c>
    </row>
    <row r="258" spans="1:7" x14ac:dyDescent="0.3">
      <c r="A258">
        <v>2.5699999999999892</v>
      </c>
      <c r="B258">
        <v>-0.28499999999999459</v>
      </c>
      <c r="C258">
        <v>0</v>
      </c>
      <c r="D258">
        <v>0.56999999999998918</v>
      </c>
      <c r="E258">
        <v>0.43000000000001082</v>
      </c>
      <c r="F258" t="s">
        <v>103</v>
      </c>
      <c r="G258" t="s">
        <v>101</v>
      </c>
    </row>
    <row r="259" spans="1:7" x14ac:dyDescent="0.3">
      <c r="A259">
        <v>2.579999999999989</v>
      </c>
      <c r="B259">
        <v>-0.28999999999999448</v>
      </c>
      <c r="C259">
        <v>0</v>
      </c>
      <c r="D259">
        <v>0.57999999999998897</v>
      </c>
      <c r="E259">
        <v>0.42000000000001103</v>
      </c>
      <c r="F259" t="s">
        <v>103</v>
      </c>
      <c r="G259" t="s">
        <v>101</v>
      </c>
    </row>
    <row r="260" spans="1:7" x14ac:dyDescent="0.3">
      <c r="A260">
        <v>2.5899999999999888</v>
      </c>
      <c r="B260">
        <v>-0.29499999999999438</v>
      </c>
      <c r="C260">
        <v>0</v>
      </c>
      <c r="D260">
        <v>0.58999999999998876</v>
      </c>
      <c r="E260">
        <v>0.41000000000001124</v>
      </c>
      <c r="F260" t="s">
        <v>103</v>
      </c>
      <c r="G260" t="s">
        <v>101</v>
      </c>
    </row>
    <row r="261" spans="1:7" x14ac:dyDescent="0.3">
      <c r="A261">
        <v>2.5999999999999885</v>
      </c>
      <c r="B261">
        <v>-0.29999999999999427</v>
      </c>
      <c r="C261">
        <v>0</v>
      </c>
      <c r="D261">
        <v>0.59999999999998854</v>
      </c>
      <c r="E261">
        <v>0.40000000000001146</v>
      </c>
      <c r="F261" t="s">
        <v>103</v>
      </c>
      <c r="G261" t="s">
        <v>101</v>
      </c>
    </row>
    <row r="262" spans="1:7" x14ac:dyDescent="0.3">
      <c r="A262">
        <v>2.6099999999999883</v>
      </c>
      <c r="B262">
        <v>-0.30499999999999416</v>
      </c>
      <c r="C262">
        <v>0</v>
      </c>
      <c r="D262">
        <v>0.60999999999998833</v>
      </c>
      <c r="E262">
        <v>0.39000000000001167</v>
      </c>
      <c r="F262" t="s">
        <v>103</v>
      </c>
      <c r="G262" t="s">
        <v>101</v>
      </c>
    </row>
    <row r="263" spans="1:7" x14ac:dyDescent="0.3">
      <c r="A263">
        <v>2.6199999999999881</v>
      </c>
      <c r="B263">
        <v>-0.30999999999999406</v>
      </c>
      <c r="C263">
        <v>0</v>
      </c>
      <c r="D263">
        <v>0.61999999999998812</v>
      </c>
      <c r="E263">
        <v>0.38000000000001188</v>
      </c>
      <c r="F263" t="s">
        <v>103</v>
      </c>
      <c r="G263" t="s">
        <v>101</v>
      </c>
    </row>
    <row r="264" spans="1:7" x14ac:dyDescent="0.3">
      <c r="A264">
        <v>2.6299999999999879</v>
      </c>
      <c r="B264">
        <v>-0.31499999999999395</v>
      </c>
      <c r="C264">
        <v>0</v>
      </c>
      <c r="D264">
        <v>0.6299999999999879</v>
      </c>
      <c r="E264">
        <v>0.3700000000000121</v>
      </c>
      <c r="F264" t="s">
        <v>103</v>
      </c>
      <c r="G264" t="s">
        <v>101</v>
      </c>
    </row>
    <row r="265" spans="1:7" x14ac:dyDescent="0.3">
      <c r="A265">
        <v>2.6399999999999877</v>
      </c>
      <c r="B265">
        <v>-0.31999999999999384</v>
      </c>
      <c r="C265">
        <v>0</v>
      </c>
      <c r="D265">
        <v>0.63999999999998769</v>
      </c>
      <c r="E265">
        <v>0.36000000000001231</v>
      </c>
      <c r="F265" t="s">
        <v>103</v>
      </c>
      <c r="G265" t="s">
        <v>101</v>
      </c>
    </row>
    <row r="266" spans="1:7" x14ac:dyDescent="0.3">
      <c r="A266">
        <v>2.6499999999999875</v>
      </c>
      <c r="B266">
        <v>-0.32499999999999374</v>
      </c>
      <c r="C266">
        <v>0</v>
      </c>
      <c r="D266">
        <v>0.64999999999998748</v>
      </c>
      <c r="E266">
        <v>0.35000000000001252</v>
      </c>
      <c r="F266" t="s">
        <v>103</v>
      </c>
      <c r="G266" t="s">
        <v>101</v>
      </c>
    </row>
    <row r="267" spans="1:7" x14ac:dyDescent="0.3">
      <c r="A267">
        <v>2.6599999999999873</v>
      </c>
      <c r="B267">
        <v>-0.32999999999999363</v>
      </c>
      <c r="C267">
        <v>0</v>
      </c>
      <c r="D267">
        <v>0.65999999999998726</v>
      </c>
      <c r="E267">
        <v>0.34000000000001274</v>
      </c>
      <c r="F267" t="s">
        <v>103</v>
      </c>
      <c r="G267" t="s">
        <v>101</v>
      </c>
    </row>
    <row r="268" spans="1:7" x14ac:dyDescent="0.3">
      <c r="A268">
        <v>2.6699999999999871</v>
      </c>
      <c r="B268">
        <v>-0.33499999999999353</v>
      </c>
      <c r="C268">
        <v>0</v>
      </c>
      <c r="D268">
        <v>0.66999999999998705</v>
      </c>
      <c r="E268">
        <v>0.33000000000001295</v>
      </c>
      <c r="F268" t="s">
        <v>103</v>
      </c>
      <c r="G268" t="s">
        <v>101</v>
      </c>
    </row>
    <row r="269" spans="1:7" x14ac:dyDescent="0.3">
      <c r="A269">
        <v>2.6799999999999868</v>
      </c>
      <c r="B269">
        <v>-0.33999999999999342</v>
      </c>
      <c r="C269">
        <v>0</v>
      </c>
      <c r="D269">
        <v>0.67999999999998684</v>
      </c>
      <c r="E269">
        <v>0.32000000000001316</v>
      </c>
      <c r="F269" t="s">
        <v>103</v>
      </c>
      <c r="G269" t="s">
        <v>101</v>
      </c>
    </row>
    <row r="270" spans="1:7" x14ac:dyDescent="0.3">
      <c r="A270">
        <v>2.6899999999999866</v>
      </c>
      <c r="B270">
        <v>-0.34499999999999331</v>
      </c>
      <c r="C270">
        <v>0</v>
      </c>
      <c r="D270">
        <v>0.68999999999998662</v>
      </c>
      <c r="E270">
        <v>0.31000000000001338</v>
      </c>
      <c r="F270" t="s">
        <v>103</v>
      </c>
      <c r="G270" t="s">
        <v>101</v>
      </c>
    </row>
    <row r="271" spans="1:7" x14ac:dyDescent="0.3">
      <c r="A271">
        <v>2.6999999999999864</v>
      </c>
      <c r="B271">
        <v>-0.34999999999999321</v>
      </c>
      <c r="C271">
        <v>0</v>
      </c>
      <c r="D271">
        <v>0.69999999999998641</v>
      </c>
      <c r="E271">
        <v>0.30000000000001359</v>
      </c>
      <c r="F271" t="s">
        <v>103</v>
      </c>
      <c r="G271" t="s">
        <v>101</v>
      </c>
    </row>
    <row r="272" spans="1:7" x14ac:dyDescent="0.3">
      <c r="A272">
        <v>2.7099999999999862</v>
      </c>
      <c r="B272">
        <v>-0.3549999999999931</v>
      </c>
      <c r="C272">
        <v>0</v>
      </c>
      <c r="D272">
        <v>0.7099999999999862</v>
      </c>
      <c r="E272">
        <v>0.2900000000000138</v>
      </c>
      <c r="F272" t="s">
        <v>103</v>
      </c>
      <c r="G272" t="s">
        <v>101</v>
      </c>
    </row>
    <row r="273" spans="1:7" x14ac:dyDescent="0.3">
      <c r="A273">
        <v>2.719999999999986</v>
      </c>
      <c r="B273">
        <v>-0.35999999999999299</v>
      </c>
      <c r="C273">
        <v>0</v>
      </c>
      <c r="D273">
        <v>0.71999999999998598</v>
      </c>
      <c r="E273">
        <v>0.28000000000001402</v>
      </c>
      <c r="F273" t="s">
        <v>103</v>
      </c>
      <c r="G273" t="s">
        <v>101</v>
      </c>
    </row>
    <row r="274" spans="1:7" x14ac:dyDescent="0.3">
      <c r="A274">
        <v>2.7299999999999858</v>
      </c>
      <c r="B274">
        <v>-0.36499999999999289</v>
      </c>
      <c r="C274">
        <v>0</v>
      </c>
      <c r="D274">
        <v>0.72999999999998577</v>
      </c>
      <c r="E274">
        <v>0.27000000000001423</v>
      </c>
      <c r="F274" t="s">
        <v>103</v>
      </c>
      <c r="G274" t="s">
        <v>101</v>
      </c>
    </row>
    <row r="275" spans="1:7" x14ac:dyDescent="0.3">
      <c r="A275">
        <v>2.7399999999999856</v>
      </c>
      <c r="B275">
        <v>-0.36999999999999278</v>
      </c>
      <c r="C275">
        <v>0</v>
      </c>
      <c r="D275">
        <v>0.73999999999998556</v>
      </c>
      <c r="E275">
        <v>0.26000000000001444</v>
      </c>
      <c r="F275" t="s">
        <v>103</v>
      </c>
      <c r="G275" t="s">
        <v>101</v>
      </c>
    </row>
    <row r="276" spans="1:7" x14ac:dyDescent="0.3">
      <c r="A276">
        <v>2.7499999999999853</v>
      </c>
      <c r="B276">
        <v>-0.37499999999999267</v>
      </c>
      <c r="C276">
        <v>0</v>
      </c>
      <c r="D276">
        <v>0.74999999999998535</v>
      </c>
      <c r="E276">
        <v>0.25000000000001465</v>
      </c>
      <c r="F276" t="s">
        <v>103</v>
      </c>
      <c r="G276" t="s">
        <v>101</v>
      </c>
    </row>
    <row r="277" spans="1:7" x14ac:dyDescent="0.3">
      <c r="A277">
        <v>2.7599999999999851</v>
      </c>
      <c r="B277">
        <v>-0.37999999999999257</v>
      </c>
      <c r="C277">
        <v>0</v>
      </c>
      <c r="D277">
        <v>0.75999999999998513</v>
      </c>
      <c r="E277">
        <v>0.24000000000001487</v>
      </c>
      <c r="F277" t="s">
        <v>103</v>
      </c>
      <c r="G277" t="s">
        <v>101</v>
      </c>
    </row>
    <row r="278" spans="1:7" x14ac:dyDescent="0.3">
      <c r="A278">
        <v>2.7699999999999849</v>
      </c>
      <c r="B278">
        <v>-0.38499999999999246</v>
      </c>
      <c r="C278">
        <v>0</v>
      </c>
      <c r="D278">
        <v>0.76999999999998492</v>
      </c>
      <c r="E278">
        <v>0.23000000000001508</v>
      </c>
      <c r="F278" t="s">
        <v>103</v>
      </c>
      <c r="G278" t="s">
        <v>101</v>
      </c>
    </row>
    <row r="279" spans="1:7" x14ac:dyDescent="0.3">
      <c r="A279">
        <v>2.7799999999999847</v>
      </c>
      <c r="B279">
        <v>-0.38999999999999235</v>
      </c>
      <c r="C279">
        <v>0</v>
      </c>
      <c r="D279">
        <v>0.77999999999998471</v>
      </c>
      <c r="E279">
        <v>0.22000000000001529</v>
      </c>
      <c r="F279" t="s">
        <v>103</v>
      </c>
      <c r="G279" t="s">
        <v>101</v>
      </c>
    </row>
    <row r="280" spans="1:7" x14ac:dyDescent="0.3">
      <c r="A280">
        <v>2.7899999999999845</v>
      </c>
      <c r="B280">
        <v>-0.39499999999999225</v>
      </c>
      <c r="C280">
        <v>0</v>
      </c>
      <c r="D280">
        <v>0.78999999999998449</v>
      </c>
      <c r="E280">
        <v>0.21000000000001551</v>
      </c>
      <c r="F280" t="s">
        <v>103</v>
      </c>
      <c r="G280" t="s">
        <v>101</v>
      </c>
    </row>
    <row r="281" spans="1:7" x14ac:dyDescent="0.3">
      <c r="A281">
        <v>2.7999999999999843</v>
      </c>
      <c r="B281">
        <v>-0.39999999999999214</v>
      </c>
      <c r="C281">
        <v>0</v>
      </c>
      <c r="D281">
        <v>0.79999999999998428</v>
      </c>
      <c r="E281">
        <v>0.20000000000001572</v>
      </c>
      <c r="F281" t="s">
        <v>103</v>
      </c>
      <c r="G281" t="s">
        <v>101</v>
      </c>
    </row>
    <row r="282" spans="1:7" x14ac:dyDescent="0.3">
      <c r="A282">
        <v>2.8099999999999841</v>
      </c>
      <c r="B282">
        <v>-0.40499999999999203</v>
      </c>
      <c r="C282">
        <v>0</v>
      </c>
      <c r="D282">
        <v>0.80999999999998407</v>
      </c>
      <c r="E282">
        <v>0.19000000000001593</v>
      </c>
      <c r="F282" t="s">
        <v>103</v>
      </c>
      <c r="G282" t="s">
        <v>101</v>
      </c>
    </row>
    <row r="283" spans="1:7" x14ac:dyDescent="0.3">
      <c r="A283">
        <v>2.8199999999999839</v>
      </c>
      <c r="B283">
        <v>-0.40999999999999193</v>
      </c>
      <c r="C283">
        <v>0</v>
      </c>
      <c r="D283">
        <v>0.81999999999998385</v>
      </c>
      <c r="E283">
        <v>0.18000000000001615</v>
      </c>
      <c r="F283" t="s">
        <v>103</v>
      </c>
      <c r="G283" t="s">
        <v>101</v>
      </c>
    </row>
    <row r="284" spans="1:7" x14ac:dyDescent="0.3">
      <c r="A284">
        <v>2.8299999999999836</v>
      </c>
      <c r="B284">
        <v>-0.41499999999999182</v>
      </c>
      <c r="C284">
        <v>0</v>
      </c>
      <c r="D284">
        <v>0.82999999999998364</v>
      </c>
      <c r="E284">
        <v>0.17000000000001636</v>
      </c>
      <c r="F284" t="s">
        <v>103</v>
      </c>
      <c r="G284" t="s">
        <v>101</v>
      </c>
    </row>
    <row r="285" spans="1:7" x14ac:dyDescent="0.3">
      <c r="A285">
        <v>2.8399999999999834</v>
      </c>
      <c r="B285">
        <v>-0.41999999999999171</v>
      </c>
      <c r="C285">
        <v>0</v>
      </c>
      <c r="D285">
        <v>0.83999999999998343</v>
      </c>
      <c r="E285">
        <v>0.16000000000001657</v>
      </c>
      <c r="F285" t="s">
        <v>103</v>
      </c>
      <c r="G285" t="s">
        <v>101</v>
      </c>
    </row>
    <row r="286" spans="1:7" x14ac:dyDescent="0.3">
      <c r="A286">
        <v>2.8499999999999832</v>
      </c>
      <c r="B286">
        <v>-0.42499999999999161</v>
      </c>
      <c r="C286">
        <v>0</v>
      </c>
      <c r="D286">
        <v>0.84999999999998321</v>
      </c>
      <c r="E286">
        <v>0.15000000000001679</v>
      </c>
      <c r="F286" t="s">
        <v>103</v>
      </c>
      <c r="G286" t="s">
        <v>101</v>
      </c>
    </row>
    <row r="287" spans="1:7" x14ac:dyDescent="0.3">
      <c r="A287">
        <v>2.859999999999983</v>
      </c>
      <c r="B287">
        <v>-0.4299999999999915</v>
      </c>
      <c r="C287">
        <v>0</v>
      </c>
      <c r="D287">
        <v>0.859999999999983</v>
      </c>
      <c r="E287">
        <v>0.140000000000017</v>
      </c>
      <c r="F287" t="s">
        <v>103</v>
      </c>
      <c r="G287" t="s">
        <v>101</v>
      </c>
    </row>
    <row r="288" spans="1:7" x14ac:dyDescent="0.3">
      <c r="A288">
        <v>2.8699999999999828</v>
      </c>
      <c r="B288">
        <v>-0.43499999999999139</v>
      </c>
      <c r="C288">
        <v>0</v>
      </c>
      <c r="D288">
        <v>0.86999999999998279</v>
      </c>
      <c r="E288">
        <v>0.13000000000001721</v>
      </c>
      <c r="F288" t="s">
        <v>103</v>
      </c>
      <c r="G288" t="s">
        <v>101</v>
      </c>
    </row>
    <row r="289" spans="1:7" x14ac:dyDescent="0.3">
      <c r="A289">
        <v>2.8799999999999826</v>
      </c>
      <c r="B289">
        <v>-0.43999999999999129</v>
      </c>
      <c r="C289">
        <v>0</v>
      </c>
      <c r="D289">
        <v>0.87999999999998257</v>
      </c>
      <c r="E289">
        <v>0.12000000000001743</v>
      </c>
      <c r="F289" t="s">
        <v>103</v>
      </c>
      <c r="G289" t="s">
        <v>101</v>
      </c>
    </row>
    <row r="290" spans="1:7" x14ac:dyDescent="0.3">
      <c r="A290">
        <v>2.8899999999999824</v>
      </c>
      <c r="B290">
        <v>-0.44499999999999118</v>
      </c>
      <c r="C290">
        <v>0</v>
      </c>
      <c r="D290">
        <v>0.88999999999998236</v>
      </c>
      <c r="E290">
        <v>0.11000000000001764</v>
      </c>
      <c r="F290" t="s">
        <v>103</v>
      </c>
      <c r="G290" t="s">
        <v>101</v>
      </c>
    </row>
    <row r="291" spans="1:7" x14ac:dyDescent="0.3">
      <c r="A291">
        <v>2.8999999999999821</v>
      </c>
      <c r="B291">
        <v>-0.44999999999999107</v>
      </c>
      <c r="C291">
        <v>0</v>
      </c>
      <c r="D291">
        <v>0.89999999999998215</v>
      </c>
      <c r="E291">
        <v>0.10000000000001785</v>
      </c>
      <c r="F291" t="s">
        <v>103</v>
      </c>
      <c r="G291" t="s">
        <v>101</v>
      </c>
    </row>
    <row r="292" spans="1:7" x14ac:dyDescent="0.3">
      <c r="A292">
        <v>2.9099999999999819</v>
      </c>
      <c r="B292">
        <v>-0.45499999999999097</v>
      </c>
      <c r="C292">
        <v>0</v>
      </c>
      <c r="D292">
        <v>0.90999999999998193</v>
      </c>
      <c r="E292">
        <v>9.0000000000018066E-2</v>
      </c>
      <c r="F292" t="s">
        <v>103</v>
      </c>
      <c r="G292" t="s">
        <v>101</v>
      </c>
    </row>
    <row r="293" spans="1:7" x14ac:dyDescent="0.3">
      <c r="A293">
        <v>2.9199999999999817</v>
      </c>
      <c r="B293">
        <v>-0.45999999999999086</v>
      </c>
      <c r="C293">
        <v>0</v>
      </c>
      <c r="D293">
        <v>0.91999999999998172</v>
      </c>
      <c r="E293">
        <v>8.0000000000018279E-2</v>
      </c>
      <c r="F293" t="s">
        <v>103</v>
      </c>
      <c r="G293" t="s">
        <v>101</v>
      </c>
    </row>
    <row r="294" spans="1:7" x14ac:dyDescent="0.3">
      <c r="A294">
        <v>2.9299999999999815</v>
      </c>
      <c r="B294">
        <v>-0.46499999999999075</v>
      </c>
      <c r="C294">
        <v>0</v>
      </c>
      <c r="D294">
        <v>0.92999999999998151</v>
      </c>
      <c r="E294">
        <v>7.0000000000018492E-2</v>
      </c>
      <c r="F294" t="s">
        <v>103</v>
      </c>
      <c r="G294" t="s">
        <v>101</v>
      </c>
    </row>
    <row r="295" spans="1:7" x14ac:dyDescent="0.3">
      <c r="A295">
        <v>2.9399999999999813</v>
      </c>
      <c r="B295">
        <v>-0.46999999999999065</v>
      </c>
      <c r="C295">
        <v>0</v>
      </c>
      <c r="D295">
        <v>0.93999999999998129</v>
      </c>
      <c r="E295">
        <v>6.0000000000018705E-2</v>
      </c>
      <c r="F295" t="s">
        <v>103</v>
      </c>
      <c r="G295" t="s">
        <v>101</v>
      </c>
    </row>
    <row r="296" spans="1:7" x14ac:dyDescent="0.3">
      <c r="A296">
        <v>2.9499999999999811</v>
      </c>
      <c r="B296">
        <v>-0.47499999999999054</v>
      </c>
      <c r="C296">
        <v>0</v>
      </c>
      <c r="D296">
        <v>0.94999999999998108</v>
      </c>
      <c r="E296">
        <v>5.0000000000018918E-2</v>
      </c>
      <c r="F296" t="s">
        <v>103</v>
      </c>
      <c r="G296" t="s">
        <v>101</v>
      </c>
    </row>
    <row r="297" spans="1:7" x14ac:dyDescent="0.3">
      <c r="A297">
        <v>2.9599999999999809</v>
      </c>
      <c r="B297">
        <v>-0.47999999999999043</v>
      </c>
      <c r="C297">
        <v>0</v>
      </c>
      <c r="D297">
        <v>0.95999999999998087</v>
      </c>
      <c r="E297">
        <v>4.0000000000019131E-2</v>
      </c>
      <c r="F297" t="s">
        <v>103</v>
      </c>
      <c r="G297" t="s">
        <v>101</v>
      </c>
    </row>
    <row r="298" spans="1:7" x14ac:dyDescent="0.3">
      <c r="A298">
        <v>2.9699999999999807</v>
      </c>
      <c r="B298">
        <v>-0.48499999999999033</v>
      </c>
      <c r="C298">
        <v>0</v>
      </c>
      <c r="D298">
        <v>0.96999999999998066</v>
      </c>
      <c r="E298">
        <v>3.0000000000019345E-2</v>
      </c>
      <c r="F298" t="s">
        <v>103</v>
      </c>
      <c r="G298" t="s">
        <v>101</v>
      </c>
    </row>
    <row r="299" spans="1:7" x14ac:dyDescent="0.3">
      <c r="A299">
        <v>2.9799999999999804</v>
      </c>
      <c r="B299">
        <v>-0.48999999999999022</v>
      </c>
      <c r="C299">
        <v>0</v>
      </c>
      <c r="D299">
        <v>0.97999999999998044</v>
      </c>
      <c r="E299">
        <v>2.0000000000019558E-2</v>
      </c>
      <c r="F299" t="s">
        <v>103</v>
      </c>
      <c r="G299" t="s">
        <v>101</v>
      </c>
    </row>
    <row r="300" spans="1:7" x14ac:dyDescent="0.3">
      <c r="A300">
        <v>2.9899999999999802</v>
      </c>
      <c r="B300">
        <v>-0.49499999999999011</v>
      </c>
      <c r="C300">
        <v>0</v>
      </c>
      <c r="D300">
        <v>0.98999999999998023</v>
      </c>
      <c r="E300">
        <v>1.0000000000019771E-2</v>
      </c>
      <c r="F300" t="s">
        <v>103</v>
      </c>
      <c r="G300" t="s">
        <v>101</v>
      </c>
    </row>
    <row r="301" spans="1:7" x14ac:dyDescent="0.3">
      <c r="A301">
        <v>2.99999999999998</v>
      </c>
      <c r="B301">
        <v>-0.49999999999999001</v>
      </c>
      <c r="C301">
        <v>0</v>
      </c>
      <c r="D301">
        <v>0.99999999999998002</v>
      </c>
      <c r="E301">
        <v>1.9984014443252818E-14</v>
      </c>
      <c r="F301" t="s">
        <v>103</v>
      </c>
      <c r="G301" t="s">
        <v>101</v>
      </c>
    </row>
    <row r="302" spans="1:7" x14ac:dyDescent="0.3">
      <c r="A302">
        <v>3.0099999999999798</v>
      </c>
      <c r="B302">
        <v>-0.5049999999999899</v>
      </c>
      <c r="C302">
        <v>0</v>
      </c>
      <c r="D302">
        <v>0.9950000000000101</v>
      </c>
      <c r="E302">
        <v>0</v>
      </c>
      <c r="F302" t="s">
        <v>103</v>
      </c>
      <c r="G302" t="s">
        <v>102</v>
      </c>
    </row>
    <row r="303" spans="1:7" x14ac:dyDescent="0.3">
      <c r="A303">
        <v>3.0199999999999796</v>
      </c>
      <c r="B303">
        <v>-0.50999999999998979</v>
      </c>
      <c r="C303">
        <v>0</v>
      </c>
      <c r="D303">
        <v>0.99000000000001021</v>
      </c>
      <c r="E303">
        <v>0</v>
      </c>
      <c r="F303" t="s">
        <v>103</v>
      </c>
      <c r="G303" t="s">
        <v>102</v>
      </c>
    </row>
    <row r="304" spans="1:7" x14ac:dyDescent="0.3">
      <c r="A304">
        <v>3.0299999999999794</v>
      </c>
      <c r="B304">
        <v>-0.51499999999998969</v>
      </c>
      <c r="C304">
        <v>0</v>
      </c>
      <c r="D304">
        <v>0.98500000000001031</v>
      </c>
      <c r="E304">
        <v>0</v>
      </c>
      <c r="F304" t="s">
        <v>103</v>
      </c>
      <c r="G304" t="s">
        <v>102</v>
      </c>
    </row>
    <row r="305" spans="1:7" x14ac:dyDescent="0.3">
      <c r="A305">
        <v>3.0399999999999792</v>
      </c>
      <c r="B305">
        <v>-0.51999999999998958</v>
      </c>
      <c r="C305">
        <v>0</v>
      </c>
      <c r="D305">
        <v>0.98000000000001042</v>
      </c>
      <c r="E305">
        <v>0</v>
      </c>
      <c r="F305" t="s">
        <v>103</v>
      </c>
      <c r="G305" t="s">
        <v>102</v>
      </c>
    </row>
    <row r="306" spans="1:7" x14ac:dyDescent="0.3">
      <c r="A306">
        <v>3.049999999999979</v>
      </c>
      <c r="B306">
        <v>-0.52499999999998948</v>
      </c>
      <c r="C306">
        <v>0</v>
      </c>
      <c r="D306">
        <v>0.97500000000001052</v>
      </c>
      <c r="E306">
        <v>0</v>
      </c>
      <c r="F306" t="s">
        <v>103</v>
      </c>
      <c r="G306" t="s">
        <v>102</v>
      </c>
    </row>
    <row r="307" spans="1:7" x14ac:dyDescent="0.3">
      <c r="A307">
        <v>3.0599999999999787</v>
      </c>
      <c r="B307">
        <v>-0.52999999999998937</v>
      </c>
      <c r="C307">
        <v>0</v>
      </c>
      <c r="D307">
        <v>0.97000000000001063</v>
      </c>
      <c r="E307">
        <v>0</v>
      </c>
      <c r="F307" t="s">
        <v>103</v>
      </c>
      <c r="G307" t="s">
        <v>102</v>
      </c>
    </row>
    <row r="308" spans="1:7" x14ac:dyDescent="0.3">
      <c r="A308">
        <v>3.0699999999999785</v>
      </c>
      <c r="B308">
        <v>-0.53499999999998926</v>
      </c>
      <c r="C308">
        <v>0</v>
      </c>
      <c r="D308">
        <v>0.96500000000001074</v>
      </c>
      <c r="E308">
        <v>0</v>
      </c>
      <c r="F308" t="s">
        <v>103</v>
      </c>
      <c r="G308" t="s">
        <v>102</v>
      </c>
    </row>
    <row r="309" spans="1:7" x14ac:dyDescent="0.3">
      <c r="A309">
        <v>3.0799999999999783</v>
      </c>
      <c r="B309">
        <v>-0.53999999999998916</v>
      </c>
      <c r="C309">
        <v>0</v>
      </c>
      <c r="D309">
        <v>0.96000000000001084</v>
      </c>
      <c r="E309">
        <v>0</v>
      </c>
      <c r="F309" t="s">
        <v>103</v>
      </c>
      <c r="G309" t="s">
        <v>102</v>
      </c>
    </row>
    <row r="310" spans="1:7" x14ac:dyDescent="0.3">
      <c r="A310">
        <v>3.0899999999999781</v>
      </c>
      <c r="B310">
        <v>-0.54499999999998905</v>
      </c>
      <c r="C310">
        <v>0</v>
      </c>
      <c r="D310">
        <v>0.95500000000001095</v>
      </c>
      <c r="E310">
        <v>0</v>
      </c>
      <c r="F310" t="s">
        <v>103</v>
      </c>
      <c r="G310" t="s">
        <v>102</v>
      </c>
    </row>
    <row r="311" spans="1:7" x14ac:dyDescent="0.3">
      <c r="A311">
        <v>3.0999999999999779</v>
      </c>
      <c r="B311">
        <v>-0.54999999999998894</v>
      </c>
      <c r="C311">
        <v>0</v>
      </c>
      <c r="D311">
        <v>0.95000000000001106</v>
      </c>
      <c r="E311">
        <v>0</v>
      </c>
      <c r="F311" t="s">
        <v>103</v>
      </c>
      <c r="G311" t="s">
        <v>102</v>
      </c>
    </row>
    <row r="312" spans="1:7" x14ac:dyDescent="0.3">
      <c r="A312">
        <v>3.1099999999999777</v>
      </c>
      <c r="B312">
        <v>-0.55499999999998884</v>
      </c>
      <c r="C312">
        <v>0</v>
      </c>
      <c r="D312">
        <v>0.94500000000001116</v>
      </c>
      <c r="E312">
        <v>0</v>
      </c>
      <c r="F312" t="s">
        <v>103</v>
      </c>
      <c r="G312" t="s">
        <v>102</v>
      </c>
    </row>
    <row r="313" spans="1:7" x14ac:dyDescent="0.3">
      <c r="A313">
        <v>3.1199999999999775</v>
      </c>
      <c r="B313">
        <v>-0.55999999999998873</v>
      </c>
      <c r="C313">
        <v>0</v>
      </c>
      <c r="D313">
        <v>0.94000000000001127</v>
      </c>
      <c r="E313">
        <v>0</v>
      </c>
      <c r="F313" t="s">
        <v>103</v>
      </c>
      <c r="G313" t="s">
        <v>102</v>
      </c>
    </row>
    <row r="314" spans="1:7" x14ac:dyDescent="0.3">
      <c r="A314">
        <v>3.1299999999999772</v>
      </c>
      <c r="B314">
        <v>-0.56499999999998862</v>
      </c>
      <c r="C314">
        <v>0</v>
      </c>
      <c r="D314">
        <v>0.93500000000001138</v>
      </c>
      <c r="E314">
        <v>0</v>
      </c>
      <c r="F314" t="s">
        <v>103</v>
      </c>
      <c r="G314" t="s">
        <v>102</v>
      </c>
    </row>
    <row r="315" spans="1:7" x14ac:dyDescent="0.3">
      <c r="A315">
        <v>3.139999999999977</v>
      </c>
      <c r="B315">
        <v>-0.56999999999998852</v>
      </c>
      <c r="C315">
        <v>0</v>
      </c>
      <c r="D315">
        <v>0.93000000000001148</v>
      </c>
      <c r="E315">
        <v>0</v>
      </c>
      <c r="F315" t="s">
        <v>103</v>
      </c>
      <c r="G315" t="s">
        <v>102</v>
      </c>
    </row>
    <row r="316" spans="1:7" x14ac:dyDescent="0.3">
      <c r="A316">
        <v>3.1499999999999768</v>
      </c>
      <c r="B316">
        <v>-0.57499999999998841</v>
      </c>
      <c r="C316">
        <v>0</v>
      </c>
      <c r="D316">
        <v>0.92500000000001159</v>
      </c>
      <c r="E316">
        <v>0</v>
      </c>
      <c r="F316" t="s">
        <v>103</v>
      </c>
      <c r="G316" t="s">
        <v>102</v>
      </c>
    </row>
    <row r="317" spans="1:7" x14ac:dyDescent="0.3">
      <c r="A317">
        <v>3.1599999999999766</v>
      </c>
      <c r="B317">
        <v>-0.5799999999999883</v>
      </c>
      <c r="C317">
        <v>0</v>
      </c>
      <c r="D317">
        <v>0.9200000000000117</v>
      </c>
      <c r="E317">
        <v>0</v>
      </c>
      <c r="F317" t="s">
        <v>103</v>
      </c>
      <c r="G317" t="s">
        <v>102</v>
      </c>
    </row>
    <row r="318" spans="1:7" x14ac:dyDescent="0.3">
      <c r="A318">
        <v>3.1699999999999764</v>
      </c>
      <c r="B318">
        <v>-0.5849999999999882</v>
      </c>
      <c r="C318">
        <v>0</v>
      </c>
      <c r="D318">
        <v>0.9150000000000118</v>
      </c>
      <c r="E318">
        <v>0</v>
      </c>
      <c r="F318" t="s">
        <v>103</v>
      </c>
      <c r="G318" t="s">
        <v>102</v>
      </c>
    </row>
    <row r="319" spans="1:7" x14ac:dyDescent="0.3">
      <c r="A319">
        <v>3.1799999999999762</v>
      </c>
      <c r="B319">
        <v>-0.58999999999998809</v>
      </c>
      <c r="C319">
        <v>0</v>
      </c>
      <c r="D319">
        <v>0.91000000000001191</v>
      </c>
      <c r="E319">
        <v>0</v>
      </c>
      <c r="F319" t="s">
        <v>103</v>
      </c>
      <c r="G319" t="s">
        <v>102</v>
      </c>
    </row>
    <row r="320" spans="1:7" x14ac:dyDescent="0.3">
      <c r="A320">
        <v>3.189999999999976</v>
      </c>
      <c r="B320">
        <v>-0.59499999999998798</v>
      </c>
      <c r="C320">
        <v>0</v>
      </c>
      <c r="D320">
        <v>0.90500000000001202</v>
      </c>
      <c r="E320">
        <v>0</v>
      </c>
      <c r="F320" t="s">
        <v>103</v>
      </c>
      <c r="G320" t="s">
        <v>102</v>
      </c>
    </row>
    <row r="321" spans="1:7" x14ac:dyDescent="0.3">
      <c r="A321">
        <v>3.1999999999999758</v>
      </c>
      <c r="B321">
        <v>-0.59999999999998788</v>
      </c>
      <c r="C321">
        <v>0</v>
      </c>
      <c r="D321">
        <v>0.90000000000001212</v>
      </c>
      <c r="E321">
        <v>0</v>
      </c>
      <c r="F321" t="s">
        <v>103</v>
      </c>
      <c r="G321" t="s">
        <v>102</v>
      </c>
    </row>
    <row r="322" spans="1:7" x14ac:dyDescent="0.3">
      <c r="A322">
        <v>3.2099999999999755</v>
      </c>
      <c r="B322">
        <v>-0.60499999999998777</v>
      </c>
      <c r="C322">
        <v>0</v>
      </c>
      <c r="D322">
        <v>0.89500000000001223</v>
      </c>
      <c r="E322">
        <v>0</v>
      </c>
      <c r="F322" t="s">
        <v>103</v>
      </c>
      <c r="G322" t="s">
        <v>102</v>
      </c>
    </row>
    <row r="323" spans="1:7" x14ac:dyDescent="0.3">
      <c r="A323">
        <v>3.2199999999999753</v>
      </c>
      <c r="B323">
        <v>-0.60999999999998766</v>
      </c>
      <c r="C323">
        <v>0</v>
      </c>
      <c r="D323">
        <v>0.89000000000001234</v>
      </c>
      <c r="E323">
        <v>0</v>
      </c>
      <c r="F323" t="s">
        <v>103</v>
      </c>
      <c r="G323" t="s">
        <v>102</v>
      </c>
    </row>
    <row r="324" spans="1:7" x14ac:dyDescent="0.3">
      <c r="A324">
        <v>3.2299999999999751</v>
      </c>
      <c r="B324">
        <v>-0.61499999999998756</v>
      </c>
      <c r="C324">
        <v>0</v>
      </c>
      <c r="D324">
        <v>0.88500000000001244</v>
      </c>
      <c r="E324">
        <v>0</v>
      </c>
      <c r="F324" t="s">
        <v>103</v>
      </c>
      <c r="G324" t="s">
        <v>102</v>
      </c>
    </row>
    <row r="325" spans="1:7" x14ac:dyDescent="0.3">
      <c r="A325">
        <v>3.2399999999999749</v>
      </c>
      <c r="B325">
        <v>-0.61999999999998745</v>
      </c>
      <c r="C325">
        <v>0</v>
      </c>
      <c r="D325">
        <v>0.88000000000001255</v>
      </c>
      <c r="E325">
        <v>0</v>
      </c>
      <c r="F325" t="s">
        <v>103</v>
      </c>
      <c r="G325" t="s">
        <v>102</v>
      </c>
    </row>
    <row r="326" spans="1:7" x14ac:dyDescent="0.3">
      <c r="A326">
        <v>3.2499999999999747</v>
      </c>
      <c r="B326">
        <v>-0.62499999999998734</v>
      </c>
      <c r="C326">
        <v>0</v>
      </c>
      <c r="D326">
        <v>0.87500000000001266</v>
      </c>
      <c r="E326">
        <v>0</v>
      </c>
      <c r="F326" t="s">
        <v>103</v>
      </c>
      <c r="G326" t="s">
        <v>102</v>
      </c>
    </row>
    <row r="327" spans="1:7" x14ac:dyDescent="0.3">
      <c r="A327">
        <v>3.2599999999999745</v>
      </c>
      <c r="B327">
        <v>-0.62999999999998724</v>
      </c>
      <c r="C327">
        <v>0</v>
      </c>
      <c r="D327">
        <v>0.87000000000001276</v>
      </c>
      <c r="E327">
        <v>0</v>
      </c>
      <c r="F327" t="s">
        <v>103</v>
      </c>
      <c r="G327" t="s">
        <v>102</v>
      </c>
    </row>
    <row r="328" spans="1:7" x14ac:dyDescent="0.3">
      <c r="A328">
        <v>3.2699999999999743</v>
      </c>
      <c r="B328">
        <v>-0.63499999999998713</v>
      </c>
      <c r="C328">
        <v>0</v>
      </c>
      <c r="D328">
        <v>0.86500000000001287</v>
      </c>
      <c r="E328">
        <v>0</v>
      </c>
      <c r="F328" t="s">
        <v>103</v>
      </c>
      <c r="G328" t="s">
        <v>102</v>
      </c>
    </row>
    <row r="329" spans="1:7" x14ac:dyDescent="0.3">
      <c r="A329">
        <v>3.279999999999974</v>
      </c>
      <c r="B329">
        <v>-0.63999999999998702</v>
      </c>
      <c r="C329">
        <v>0</v>
      </c>
      <c r="D329">
        <v>0.86000000000001298</v>
      </c>
      <c r="E329">
        <v>0</v>
      </c>
      <c r="F329" t="s">
        <v>103</v>
      </c>
      <c r="G329" t="s">
        <v>102</v>
      </c>
    </row>
    <row r="330" spans="1:7" x14ac:dyDescent="0.3">
      <c r="A330">
        <v>3.2899999999999738</v>
      </c>
      <c r="B330">
        <v>-0.64499999999998692</v>
      </c>
      <c r="C330">
        <v>0</v>
      </c>
      <c r="D330">
        <v>0.85500000000001308</v>
      </c>
      <c r="E330">
        <v>0</v>
      </c>
      <c r="F330" t="s">
        <v>103</v>
      </c>
      <c r="G330" t="s">
        <v>102</v>
      </c>
    </row>
    <row r="331" spans="1:7" x14ac:dyDescent="0.3">
      <c r="A331">
        <v>3.2999999999999736</v>
      </c>
      <c r="B331">
        <v>-0.64999999999998681</v>
      </c>
      <c r="C331">
        <v>0</v>
      </c>
      <c r="D331">
        <v>0.85000000000001319</v>
      </c>
      <c r="E331">
        <v>0</v>
      </c>
      <c r="F331" t="s">
        <v>103</v>
      </c>
      <c r="G331" t="s">
        <v>102</v>
      </c>
    </row>
    <row r="332" spans="1:7" x14ac:dyDescent="0.3">
      <c r="A332">
        <v>3.3099999999999734</v>
      </c>
      <c r="B332">
        <v>-0.6549999999999867</v>
      </c>
      <c r="C332">
        <v>0</v>
      </c>
      <c r="D332">
        <v>0.8450000000000133</v>
      </c>
      <c r="E332">
        <v>0</v>
      </c>
      <c r="F332" t="s">
        <v>103</v>
      </c>
      <c r="G332" t="s">
        <v>102</v>
      </c>
    </row>
    <row r="333" spans="1:7" x14ac:dyDescent="0.3">
      <c r="A333">
        <v>3.3199999999999732</v>
      </c>
      <c r="B333">
        <v>-0.6599999999999866</v>
      </c>
      <c r="C333">
        <v>0</v>
      </c>
      <c r="D333">
        <v>0.8400000000000134</v>
      </c>
      <c r="E333">
        <v>0</v>
      </c>
      <c r="F333" t="s">
        <v>103</v>
      </c>
      <c r="G333" t="s">
        <v>102</v>
      </c>
    </row>
    <row r="334" spans="1:7" x14ac:dyDescent="0.3">
      <c r="A334">
        <v>3.329999999999973</v>
      </c>
      <c r="B334">
        <v>-0.66499999999998649</v>
      </c>
      <c r="C334">
        <v>0</v>
      </c>
      <c r="D334">
        <v>0.83500000000001351</v>
      </c>
      <c r="E334">
        <v>0</v>
      </c>
      <c r="F334" t="s">
        <v>103</v>
      </c>
      <c r="G334" t="s">
        <v>102</v>
      </c>
    </row>
    <row r="335" spans="1:7" x14ac:dyDescent="0.3">
      <c r="A335">
        <v>3.3399999999999728</v>
      </c>
      <c r="B335">
        <v>-0.66999999999998638</v>
      </c>
      <c r="C335">
        <v>0</v>
      </c>
      <c r="D335">
        <v>0.83000000000001362</v>
      </c>
      <c r="E335">
        <v>0</v>
      </c>
      <c r="F335" t="s">
        <v>103</v>
      </c>
      <c r="G335" t="s">
        <v>102</v>
      </c>
    </row>
    <row r="336" spans="1:7" x14ac:dyDescent="0.3">
      <c r="A336">
        <v>3.3499999999999726</v>
      </c>
      <c r="B336">
        <v>-0.67499999999998628</v>
      </c>
      <c r="C336">
        <v>0</v>
      </c>
      <c r="D336">
        <v>0.82500000000001372</v>
      </c>
      <c r="E336">
        <v>0</v>
      </c>
      <c r="F336" t="s">
        <v>103</v>
      </c>
      <c r="G336" t="s">
        <v>102</v>
      </c>
    </row>
    <row r="337" spans="1:7" x14ac:dyDescent="0.3">
      <c r="A337">
        <v>3.3599999999999723</v>
      </c>
      <c r="B337">
        <v>-0.67999999999998617</v>
      </c>
      <c r="C337">
        <v>0</v>
      </c>
      <c r="D337">
        <v>0.82000000000001383</v>
      </c>
      <c r="E337">
        <v>0</v>
      </c>
      <c r="F337" t="s">
        <v>103</v>
      </c>
      <c r="G337" t="s">
        <v>102</v>
      </c>
    </row>
    <row r="338" spans="1:7" x14ac:dyDescent="0.3">
      <c r="A338">
        <v>3.3699999999999721</v>
      </c>
      <c r="B338">
        <v>-0.68499999999998606</v>
      </c>
      <c r="C338">
        <v>0</v>
      </c>
      <c r="D338">
        <v>0.81500000000001394</v>
      </c>
      <c r="E338">
        <v>0</v>
      </c>
      <c r="F338" t="s">
        <v>103</v>
      </c>
      <c r="G338" t="s">
        <v>102</v>
      </c>
    </row>
    <row r="339" spans="1:7" x14ac:dyDescent="0.3">
      <c r="A339">
        <v>3.3799999999999719</v>
      </c>
      <c r="B339">
        <v>-0.68999999999998596</v>
      </c>
      <c r="C339">
        <v>0</v>
      </c>
      <c r="D339">
        <v>0.81000000000001404</v>
      </c>
      <c r="E339">
        <v>0</v>
      </c>
      <c r="F339" t="s">
        <v>103</v>
      </c>
      <c r="G339" t="s">
        <v>102</v>
      </c>
    </row>
    <row r="340" spans="1:7" x14ac:dyDescent="0.3">
      <c r="A340">
        <v>3.3899999999999717</v>
      </c>
      <c r="B340">
        <v>-0.69499999999998585</v>
      </c>
      <c r="C340">
        <v>0</v>
      </c>
      <c r="D340">
        <v>0.80500000000001415</v>
      </c>
      <c r="E340">
        <v>0</v>
      </c>
      <c r="F340" t="s">
        <v>103</v>
      </c>
      <c r="G340" t="s">
        <v>102</v>
      </c>
    </row>
    <row r="341" spans="1:7" x14ac:dyDescent="0.3">
      <c r="A341">
        <v>3.3999999999999715</v>
      </c>
      <c r="B341">
        <v>-0.69999999999998574</v>
      </c>
      <c r="C341">
        <v>0</v>
      </c>
      <c r="D341">
        <v>0.80000000000001426</v>
      </c>
      <c r="E341">
        <v>0</v>
      </c>
      <c r="F341" t="s">
        <v>103</v>
      </c>
      <c r="G341" t="s">
        <v>102</v>
      </c>
    </row>
    <row r="342" spans="1:7" x14ac:dyDescent="0.3">
      <c r="A342">
        <v>3.4099999999999713</v>
      </c>
      <c r="B342">
        <v>-0.70499999999998564</v>
      </c>
      <c r="C342">
        <v>0</v>
      </c>
      <c r="D342">
        <v>0.79500000000001436</v>
      </c>
      <c r="E342">
        <v>0</v>
      </c>
      <c r="F342" t="s">
        <v>103</v>
      </c>
      <c r="G342" t="s">
        <v>102</v>
      </c>
    </row>
    <row r="343" spans="1:7" x14ac:dyDescent="0.3">
      <c r="A343">
        <v>3.4199999999999711</v>
      </c>
      <c r="B343">
        <v>-0.70999999999998553</v>
      </c>
      <c r="C343">
        <v>0</v>
      </c>
      <c r="D343">
        <v>0.79000000000001447</v>
      </c>
      <c r="E343">
        <v>0</v>
      </c>
      <c r="F343" t="s">
        <v>103</v>
      </c>
      <c r="G343" t="s">
        <v>102</v>
      </c>
    </row>
    <row r="344" spans="1:7" x14ac:dyDescent="0.3">
      <c r="A344">
        <v>3.4299999999999708</v>
      </c>
      <c r="B344">
        <v>-0.71499999999998542</v>
      </c>
      <c r="C344">
        <v>0</v>
      </c>
      <c r="D344">
        <v>0.78500000000001458</v>
      </c>
      <c r="E344">
        <v>0</v>
      </c>
      <c r="F344" t="s">
        <v>103</v>
      </c>
      <c r="G344" t="s">
        <v>102</v>
      </c>
    </row>
    <row r="345" spans="1:7" x14ac:dyDescent="0.3">
      <c r="A345">
        <v>3.4399999999999706</v>
      </c>
      <c r="B345">
        <v>-0.71999999999998532</v>
      </c>
      <c r="C345">
        <v>0</v>
      </c>
      <c r="D345">
        <v>0.78000000000001468</v>
      </c>
      <c r="E345">
        <v>0</v>
      </c>
      <c r="F345" t="s">
        <v>103</v>
      </c>
      <c r="G345" t="s">
        <v>102</v>
      </c>
    </row>
    <row r="346" spans="1:7" x14ac:dyDescent="0.3">
      <c r="A346">
        <v>3.4499999999999704</v>
      </c>
      <c r="B346">
        <v>-0.72499999999998521</v>
      </c>
      <c r="C346">
        <v>0</v>
      </c>
      <c r="D346">
        <v>0.77500000000001479</v>
      </c>
      <c r="E346">
        <v>0</v>
      </c>
      <c r="F346" t="s">
        <v>103</v>
      </c>
      <c r="G346" t="s">
        <v>102</v>
      </c>
    </row>
    <row r="347" spans="1:7" x14ac:dyDescent="0.3">
      <c r="A347">
        <v>3.4599999999999702</v>
      </c>
      <c r="B347">
        <v>-0.72999999999998511</v>
      </c>
      <c r="C347">
        <v>0</v>
      </c>
      <c r="D347">
        <v>0.77000000000001489</v>
      </c>
      <c r="E347">
        <v>0</v>
      </c>
      <c r="F347" t="s">
        <v>103</v>
      </c>
      <c r="G347" t="s">
        <v>102</v>
      </c>
    </row>
    <row r="348" spans="1:7" x14ac:dyDescent="0.3">
      <c r="A348">
        <v>3.46999999999997</v>
      </c>
      <c r="B348">
        <v>-0.734999999999985</v>
      </c>
      <c r="C348">
        <v>0</v>
      </c>
      <c r="D348">
        <v>0.765000000000015</v>
      </c>
      <c r="E348">
        <v>0</v>
      </c>
      <c r="F348" t="s">
        <v>103</v>
      </c>
      <c r="G348" t="s">
        <v>102</v>
      </c>
    </row>
    <row r="349" spans="1:7" x14ac:dyDescent="0.3">
      <c r="A349">
        <v>3.4799999999999698</v>
      </c>
      <c r="B349">
        <v>-0.73999999999998489</v>
      </c>
      <c r="C349">
        <v>0</v>
      </c>
      <c r="D349">
        <v>0.76000000000001511</v>
      </c>
      <c r="E349">
        <v>0</v>
      </c>
      <c r="F349" t="s">
        <v>103</v>
      </c>
      <c r="G349" t="s">
        <v>102</v>
      </c>
    </row>
    <row r="350" spans="1:7" x14ac:dyDescent="0.3">
      <c r="A350">
        <v>3.4899999999999696</v>
      </c>
      <c r="B350">
        <v>-0.74499999999998479</v>
      </c>
      <c r="C350">
        <v>0</v>
      </c>
      <c r="D350">
        <v>0.75500000000001521</v>
      </c>
      <c r="E350">
        <v>0</v>
      </c>
      <c r="F350" t="s">
        <v>103</v>
      </c>
      <c r="G350" t="s">
        <v>102</v>
      </c>
    </row>
    <row r="351" spans="1:7" x14ac:dyDescent="0.3">
      <c r="A351">
        <v>3.4999999999999694</v>
      </c>
      <c r="B351">
        <v>-0.74999999999998468</v>
      </c>
      <c r="C351">
        <v>0</v>
      </c>
      <c r="D351">
        <v>0.75000000000001532</v>
      </c>
      <c r="E351">
        <v>0</v>
      </c>
      <c r="F351" t="s">
        <v>103</v>
      </c>
      <c r="G351" t="s">
        <v>102</v>
      </c>
    </row>
    <row r="352" spans="1:7" x14ac:dyDescent="0.3">
      <c r="A352">
        <v>3.5099999999999691</v>
      </c>
      <c r="B352">
        <v>-0.75499999999998457</v>
      </c>
      <c r="C352">
        <v>0</v>
      </c>
      <c r="D352">
        <v>0.74500000000001543</v>
      </c>
      <c r="E352">
        <v>0</v>
      </c>
      <c r="F352" t="s">
        <v>103</v>
      </c>
      <c r="G352" t="s">
        <v>102</v>
      </c>
    </row>
    <row r="353" spans="1:7" x14ac:dyDescent="0.3">
      <c r="A353">
        <v>3.5199999999999689</v>
      </c>
      <c r="B353">
        <v>-0.75999999999998447</v>
      </c>
      <c r="C353">
        <v>0</v>
      </c>
      <c r="D353">
        <v>0.74000000000001553</v>
      </c>
      <c r="E353">
        <v>0</v>
      </c>
      <c r="F353" t="s">
        <v>103</v>
      </c>
      <c r="G353" t="s">
        <v>102</v>
      </c>
    </row>
    <row r="354" spans="1:7" x14ac:dyDescent="0.3">
      <c r="A354">
        <v>3.5299999999999687</v>
      </c>
      <c r="B354">
        <v>-0.76499999999998436</v>
      </c>
      <c r="C354">
        <v>0</v>
      </c>
      <c r="D354">
        <v>0.73500000000001564</v>
      </c>
      <c r="E354">
        <v>0</v>
      </c>
      <c r="F354" t="s">
        <v>103</v>
      </c>
      <c r="G354" t="s">
        <v>102</v>
      </c>
    </row>
    <row r="355" spans="1:7" x14ac:dyDescent="0.3">
      <c r="A355">
        <v>3.5399999999999685</v>
      </c>
      <c r="B355">
        <v>-0.76999999999998425</v>
      </c>
      <c r="C355">
        <v>0</v>
      </c>
      <c r="D355">
        <v>0.73000000000001575</v>
      </c>
      <c r="E355">
        <v>0</v>
      </c>
      <c r="F355" t="s">
        <v>103</v>
      </c>
      <c r="G355" t="s">
        <v>102</v>
      </c>
    </row>
    <row r="356" spans="1:7" x14ac:dyDescent="0.3">
      <c r="A356">
        <v>3.5499999999999683</v>
      </c>
      <c r="B356">
        <v>-0.77499999999998415</v>
      </c>
      <c r="C356">
        <v>0</v>
      </c>
      <c r="D356">
        <v>0.72500000000001585</v>
      </c>
      <c r="E356">
        <v>0</v>
      </c>
      <c r="F356" t="s">
        <v>103</v>
      </c>
      <c r="G356" t="s">
        <v>102</v>
      </c>
    </row>
    <row r="357" spans="1:7" x14ac:dyDescent="0.3">
      <c r="A357">
        <v>3.5599999999999681</v>
      </c>
      <c r="B357">
        <v>-0.77999999999998404</v>
      </c>
      <c r="C357">
        <v>0</v>
      </c>
      <c r="D357">
        <v>0.72000000000001596</v>
      </c>
      <c r="E357">
        <v>0</v>
      </c>
      <c r="F357" t="s">
        <v>103</v>
      </c>
      <c r="G357" t="s">
        <v>102</v>
      </c>
    </row>
    <row r="358" spans="1:7" x14ac:dyDescent="0.3">
      <c r="A358">
        <v>3.5699999999999679</v>
      </c>
      <c r="B358">
        <v>-0.78499999999998393</v>
      </c>
      <c r="C358">
        <v>0</v>
      </c>
      <c r="D358">
        <v>0.71500000000001607</v>
      </c>
      <c r="E358">
        <v>0</v>
      </c>
      <c r="F358" t="s">
        <v>103</v>
      </c>
      <c r="G358" t="s">
        <v>102</v>
      </c>
    </row>
    <row r="359" spans="1:7" x14ac:dyDescent="0.3">
      <c r="A359">
        <v>3.5799999999999677</v>
      </c>
      <c r="B359">
        <v>-0.78999999999998383</v>
      </c>
      <c r="C359">
        <v>0</v>
      </c>
      <c r="D359">
        <v>0.71000000000001617</v>
      </c>
      <c r="E359">
        <v>0</v>
      </c>
      <c r="F359" t="s">
        <v>103</v>
      </c>
      <c r="G359" t="s">
        <v>102</v>
      </c>
    </row>
    <row r="360" spans="1:7" x14ac:dyDescent="0.3">
      <c r="A360">
        <v>3.5899999999999674</v>
      </c>
      <c r="B360">
        <v>-0.79499999999998372</v>
      </c>
      <c r="C360">
        <v>0</v>
      </c>
      <c r="D360">
        <v>0.70500000000001628</v>
      </c>
      <c r="E360">
        <v>0</v>
      </c>
      <c r="F360" t="s">
        <v>103</v>
      </c>
      <c r="G360" t="s">
        <v>102</v>
      </c>
    </row>
    <row r="361" spans="1:7" x14ac:dyDescent="0.3">
      <c r="A361">
        <v>3.5999999999999672</v>
      </c>
      <c r="B361">
        <v>-0.79999999999998361</v>
      </c>
      <c r="C361">
        <v>0</v>
      </c>
      <c r="D361">
        <v>0.70000000000001639</v>
      </c>
      <c r="E361">
        <v>0</v>
      </c>
      <c r="F361" t="s">
        <v>103</v>
      </c>
      <c r="G361" t="s">
        <v>102</v>
      </c>
    </row>
    <row r="362" spans="1:7" x14ac:dyDescent="0.3">
      <c r="A362">
        <v>3.609999999999967</v>
      </c>
      <c r="B362">
        <v>-0.80499999999998351</v>
      </c>
      <c r="C362">
        <v>0</v>
      </c>
      <c r="D362">
        <v>0.69500000000001649</v>
      </c>
      <c r="E362">
        <v>0</v>
      </c>
      <c r="F362" t="s">
        <v>103</v>
      </c>
      <c r="G362" t="s">
        <v>102</v>
      </c>
    </row>
    <row r="363" spans="1:7" x14ac:dyDescent="0.3">
      <c r="A363">
        <v>3.6199999999999668</v>
      </c>
      <c r="B363">
        <v>-0.8099999999999834</v>
      </c>
      <c r="C363">
        <v>0</v>
      </c>
      <c r="D363">
        <v>0.6900000000000166</v>
      </c>
      <c r="E363">
        <v>0</v>
      </c>
      <c r="F363" t="s">
        <v>103</v>
      </c>
      <c r="G363" t="s">
        <v>102</v>
      </c>
    </row>
    <row r="364" spans="1:7" x14ac:dyDescent="0.3">
      <c r="A364">
        <v>3.6299999999999666</v>
      </c>
      <c r="B364">
        <v>-0.81499999999998329</v>
      </c>
      <c r="C364">
        <v>0</v>
      </c>
      <c r="D364">
        <v>0.68500000000001671</v>
      </c>
      <c r="E364">
        <v>0</v>
      </c>
      <c r="F364" t="s">
        <v>103</v>
      </c>
      <c r="G364" t="s">
        <v>102</v>
      </c>
    </row>
    <row r="365" spans="1:7" x14ac:dyDescent="0.3">
      <c r="A365">
        <v>3.6399999999999664</v>
      </c>
      <c r="B365">
        <v>-0.81999999999998319</v>
      </c>
      <c r="C365">
        <v>0</v>
      </c>
      <c r="D365">
        <v>0.68000000000001681</v>
      </c>
      <c r="E365">
        <v>0</v>
      </c>
      <c r="F365" t="s">
        <v>103</v>
      </c>
      <c r="G365" t="s">
        <v>102</v>
      </c>
    </row>
    <row r="366" spans="1:7" x14ac:dyDescent="0.3">
      <c r="A366">
        <v>3.6499999999999662</v>
      </c>
      <c r="B366">
        <v>-0.82499999999998308</v>
      </c>
      <c r="C366">
        <v>0</v>
      </c>
      <c r="D366">
        <v>0.67500000000001692</v>
      </c>
      <c r="E366">
        <v>0</v>
      </c>
      <c r="F366" t="s">
        <v>103</v>
      </c>
      <c r="G366" t="s">
        <v>102</v>
      </c>
    </row>
    <row r="367" spans="1:7" x14ac:dyDescent="0.3">
      <c r="A367">
        <v>3.6599999999999659</v>
      </c>
      <c r="B367">
        <v>-0.82999999999998297</v>
      </c>
      <c r="C367">
        <v>0</v>
      </c>
      <c r="D367">
        <v>0.67000000000001703</v>
      </c>
      <c r="E367">
        <v>0</v>
      </c>
      <c r="F367" t="s">
        <v>103</v>
      </c>
      <c r="G367" t="s">
        <v>102</v>
      </c>
    </row>
    <row r="368" spans="1:7" x14ac:dyDescent="0.3">
      <c r="A368">
        <v>3.6699999999999657</v>
      </c>
      <c r="B368">
        <v>-0.83499999999998287</v>
      </c>
      <c r="C368">
        <v>0</v>
      </c>
      <c r="D368">
        <v>0.66500000000001713</v>
      </c>
      <c r="E368">
        <v>0</v>
      </c>
      <c r="F368" t="s">
        <v>103</v>
      </c>
      <c r="G368" t="s">
        <v>102</v>
      </c>
    </row>
    <row r="369" spans="1:7" x14ac:dyDescent="0.3">
      <c r="A369">
        <v>3.6799999999999655</v>
      </c>
      <c r="B369">
        <v>-0.83999999999998276</v>
      </c>
      <c r="C369">
        <v>0</v>
      </c>
      <c r="D369">
        <v>0.66000000000001724</v>
      </c>
      <c r="E369">
        <v>0</v>
      </c>
      <c r="F369" t="s">
        <v>103</v>
      </c>
      <c r="G369" t="s">
        <v>102</v>
      </c>
    </row>
    <row r="370" spans="1:7" x14ac:dyDescent="0.3">
      <c r="A370">
        <v>3.6899999999999653</v>
      </c>
      <c r="B370">
        <v>-0.84499999999998265</v>
      </c>
      <c r="C370">
        <v>0</v>
      </c>
      <c r="D370">
        <v>0.65500000000001735</v>
      </c>
      <c r="E370">
        <v>0</v>
      </c>
      <c r="F370" t="s">
        <v>103</v>
      </c>
      <c r="G370" t="s">
        <v>102</v>
      </c>
    </row>
    <row r="371" spans="1:7" x14ac:dyDescent="0.3">
      <c r="A371">
        <v>3.6999999999999651</v>
      </c>
      <c r="B371">
        <v>-0.84999999999998255</v>
      </c>
      <c r="C371">
        <v>0</v>
      </c>
      <c r="D371">
        <v>0.65000000000001745</v>
      </c>
      <c r="E371">
        <v>0</v>
      </c>
      <c r="F371" t="s">
        <v>103</v>
      </c>
      <c r="G371" t="s">
        <v>102</v>
      </c>
    </row>
    <row r="372" spans="1:7" x14ac:dyDescent="0.3">
      <c r="A372">
        <v>3.7099999999999649</v>
      </c>
      <c r="B372">
        <v>-0.85499999999998244</v>
      </c>
      <c r="C372">
        <v>0</v>
      </c>
      <c r="D372">
        <v>0.64500000000001756</v>
      </c>
      <c r="E372">
        <v>0</v>
      </c>
      <c r="F372" t="s">
        <v>103</v>
      </c>
      <c r="G372" t="s">
        <v>102</v>
      </c>
    </row>
    <row r="373" spans="1:7" x14ac:dyDescent="0.3">
      <c r="A373">
        <v>3.7199999999999647</v>
      </c>
      <c r="B373">
        <v>-0.85999999999998233</v>
      </c>
      <c r="C373">
        <v>0</v>
      </c>
      <c r="D373">
        <v>0.64000000000001767</v>
      </c>
      <c r="E373">
        <v>0</v>
      </c>
      <c r="F373" t="s">
        <v>103</v>
      </c>
      <c r="G373" t="s">
        <v>102</v>
      </c>
    </row>
    <row r="374" spans="1:7" x14ac:dyDescent="0.3">
      <c r="A374">
        <v>3.7299999999999645</v>
      </c>
      <c r="B374">
        <v>-0.86499999999998223</v>
      </c>
      <c r="C374">
        <v>0</v>
      </c>
      <c r="D374">
        <v>0.63500000000001777</v>
      </c>
      <c r="E374">
        <v>0</v>
      </c>
      <c r="F374" t="s">
        <v>103</v>
      </c>
      <c r="G374" t="s">
        <v>102</v>
      </c>
    </row>
    <row r="375" spans="1:7" x14ac:dyDescent="0.3">
      <c r="A375">
        <v>3.7399999999999642</v>
      </c>
      <c r="B375">
        <v>-0.86999999999998212</v>
      </c>
      <c r="C375">
        <v>0</v>
      </c>
      <c r="D375">
        <v>0.63000000000001788</v>
      </c>
      <c r="E375">
        <v>0</v>
      </c>
      <c r="F375" t="s">
        <v>103</v>
      </c>
      <c r="G375" t="s">
        <v>102</v>
      </c>
    </row>
    <row r="376" spans="1:7" x14ac:dyDescent="0.3">
      <c r="A376">
        <v>3.749999999999964</v>
      </c>
      <c r="B376">
        <v>-0.87499999999998201</v>
      </c>
      <c r="C376">
        <v>0</v>
      </c>
      <c r="D376">
        <v>0.62500000000001799</v>
      </c>
      <c r="E376">
        <v>0</v>
      </c>
      <c r="F376" t="s">
        <v>103</v>
      </c>
      <c r="G376" t="s">
        <v>102</v>
      </c>
    </row>
    <row r="377" spans="1:7" x14ac:dyDescent="0.3">
      <c r="A377">
        <v>3.7599999999999638</v>
      </c>
      <c r="B377">
        <v>-0.87999999999998191</v>
      </c>
      <c r="C377">
        <v>0</v>
      </c>
      <c r="D377">
        <v>0.62000000000001809</v>
      </c>
      <c r="E377">
        <v>0</v>
      </c>
      <c r="F377" t="s">
        <v>103</v>
      </c>
      <c r="G377" t="s">
        <v>102</v>
      </c>
    </row>
    <row r="378" spans="1:7" x14ac:dyDescent="0.3">
      <c r="A378">
        <v>3.7699999999999636</v>
      </c>
      <c r="B378">
        <v>-0.8849999999999818</v>
      </c>
      <c r="C378">
        <v>0</v>
      </c>
      <c r="D378">
        <v>0.6150000000000182</v>
      </c>
      <c r="E378">
        <v>0</v>
      </c>
      <c r="F378" t="s">
        <v>103</v>
      </c>
      <c r="G378" t="s">
        <v>102</v>
      </c>
    </row>
    <row r="379" spans="1:7" x14ac:dyDescent="0.3">
      <c r="A379">
        <v>3.7799999999999634</v>
      </c>
      <c r="B379">
        <v>-0.88999999999998169</v>
      </c>
      <c r="C379">
        <v>0</v>
      </c>
      <c r="D379">
        <v>0.61000000000001831</v>
      </c>
      <c r="E379">
        <v>0</v>
      </c>
      <c r="F379" t="s">
        <v>103</v>
      </c>
      <c r="G379" t="s">
        <v>102</v>
      </c>
    </row>
    <row r="380" spans="1:7" x14ac:dyDescent="0.3">
      <c r="A380">
        <v>3.7899999999999632</v>
      </c>
      <c r="B380">
        <v>-0.89499999999998159</v>
      </c>
      <c r="C380">
        <v>0</v>
      </c>
      <c r="D380">
        <v>0.60500000000001841</v>
      </c>
      <c r="E380">
        <v>0</v>
      </c>
      <c r="F380" t="s">
        <v>103</v>
      </c>
      <c r="G380" t="s">
        <v>102</v>
      </c>
    </row>
    <row r="381" spans="1:7" x14ac:dyDescent="0.3">
      <c r="A381">
        <v>3.799999999999963</v>
      </c>
      <c r="B381">
        <v>-0.89999999999998148</v>
      </c>
      <c r="C381">
        <v>0</v>
      </c>
      <c r="D381">
        <v>0.60000000000001852</v>
      </c>
      <c r="E381">
        <v>0</v>
      </c>
      <c r="F381" t="s">
        <v>103</v>
      </c>
      <c r="G381" t="s">
        <v>102</v>
      </c>
    </row>
    <row r="382" spans="1:7" x14ac:dyDescent="0.3">
      <c r="A382">
        <v>3.8099999999999627</v>
      </c>
      <c r="B382">
        <v>-0.90499999999998137</v>
      </c>
      <c r="C382">
        <v>0</v>
      </c>
      <c r="D382">
        <v>0.59500000000001863</v>
      </c>
      <c r="E382">
        <v>0</v>
      </c>
      <c r="F382" t="s">
        <v>103</v>
      </c>
      <c r="G382" t="s">
        <v>102</v>
      </c>
    </row>
    <row r="383" spans="1:7" x14ac:dyDescent="0.3">
      <c r="A383">
        <v>3.8199999999999625</v>
      </c>
      <c r="B383">
        <v>-0.90999999999998127</v>
      </c>
      <c r="C383">
        <v>0</v>
      </c>
      <c r="D383">
        <v>0.59000000000001873</v>
      </c>
      <c r="E383">
        <v>0</v>
      </c>
      <c r="F383" t="s">
        <v>103</v>
      </c>
      <c r="G383" t="s">
        <v>102</v>
      </c>
    </row>
    <row r="384" spans="1:7" x14ac:dyDescent="0.3">
      <c r="A384">
        <v>3.8299999999999623</v>
      </c>
      <c r="B384">
        <v>-0.91499999999998116</v>
      </c>
      <c r="C384">
        <v>0</v>
      </c>
      <c r="D384">
        <v>0.58500000000001884</v>
      </c>
      <c r="E384">
        <v>0</v>
      </c>
      <c r="F384" t="s">
        <v>103</v>
      </c>
      <c r="G384" t="s">
        <v>102</v>
      </c>
    </row>
    <row r="385" spans="1:7" x14ac:dyDescent="0.3">
      <c r="A385">
        <v>3.8399999999999621</v>
      </c>
      <c r="B385">
        <v>-0.91999999999998106</v>
      </c>
      <c r="C385">
        <v>0</v>
      </c>
      <c r="D385">
        <v>0.58000000000001894</v>
      </c>
      <c r="E385">
        <v>0</v>
      </c>
      <c r="F385" t="s">
        <v>103</v>
      </c>
      <c r="G385" t="s">
        <v>102</v>
      </c>
    </row>
    <row r="386" spans="1:7" x14ac:dyDescent="0.3">
      <c r="A386">
        <v>3.8499999999999619</v>
      </c>
      <c r="B386">
        <v>-0.92499999999998095</v>
      </c>
      <c r="C386">
        <v>0</v>
      </c>
      <c r="D386">
        <v>0.57500000000001905</v>
      </c>
      <c r="E386">
        <v>0</v>
      </c>
      <c r="F386" t="s">
        <v>103</v>
      </c>
      <c r="G386" t="s">
        <v>102</v>
      </c>
    </row>
    <row r="387" spans="1:7" x14ac:dyDescent="0.3">
      <c r="A387">
        <v>3.8599999999999617</v>
      </c>
      <c r="B387">
        <v>-0.92999999999998084</v>
      </c>
      <c r="C387">
        <v>0</v>
      </c>
      <c r="D387">
        <v>0.57000000000001916</v>
      </c>
      <c r="E387">
        <v>0</v>
      </c>
      <c r="F387" t="s">
        <v>103</v>
      </c>
      <c r="G387" t="s">
        <v>102</v>
      </c>
    </row>
    <row r="388" spans="1:7" x14ac:dyDescent="0.3">
      <c r="A388">
        <v>3.8699999999999615</v>
      </c>
      <c r="B388">
        <v>-0.93499999999998074</v>
      </c>
      <c r="C388">
        <v>0</v>
      </c>
      <c r="D388">
        <v>0.56500000000001926</v>
      </c>
      <c r="E388">
        <v>0</v>
      </c>
      <c r="F388" t="s">
        <v>103</v>
      </c>
      <c r="G388" t="s">
        <v>102</v>
      </c>
    </row>
    <row r="389" spans="1:7" x14ac:dyDescent="0.3">
      <c r="A389">
        <v>3.8799999999999613</v>
      </c>
      <c r="B389">
        <v>-0.93999999999998063</v>
      </c>
      <c r="C389">
        <v>0</v>
      </c>
      <c r="D389">
        <v>0.56000000000001937</v>
      </c>
      <c r="E389">
        <v>0</v>
      </c>
      <c r="F389" t="s">
        <v>103</v>
      </c>
      <c r="G389" t="s">
        <v>102</v>
      </c>
    </row>
    <row r="390" spans="1:7" x14ac:dyDescent="0.3">
      <c r="A390">
        <v>3.889999999999961</v>
      </c>
      <c r="B390">
        <v>-0.94499999999998052</v>
      </c>
      <c r="C390">
        <v>0</v>
      </c>
      <c r="D390">
        <v>0.55500000000001948</v>
      </c>
      <c r="E390">
        <v>0</v>
      </c>
      <c r="F390" t="s">
        <v>103</v>
      </c>
      <c r="G390" t="s">
        <v>102</v>
      </c>
    </row>
    <row r="391" spans="1:7" x14ac:dyDescent="0.3">
      <c r="A391">
        <v>3.8999999999999608</v>
      </c>
      <c r="B391">
        <v>-0.94999999999998042</v>
      </c>
      <c r="C391">
        <v>0</v>
      </c>
      <c r="D391">
        <v>0.55000000000001958</v>
      </c>
      <c r="E391">
        <v>0</v>
      </c>
      <c r="F391" t="s">
        <v>103</v>
      </c>
      <c r="G391" t="s">
        <v>102</v>
      </c>
    </row>
    <row r="392" spans="1:7" x14ac:dyDescent="0.3">
      <c r="A392">
        <v>3.9099999999999606</v>
      </c>
      <c r="B392">
        <v>-0.95499999999998031</v>
      </c>
      <c r="C392">
        <v>0</v>
      </c>
      <c r="D392">
        <v>0.54500000000001969</v>
      </c>
      <c r="E392">
        <v>0</v>
      </c>
      <c r="F392" t="s">
        <v>103</v>
      </c>
      <c r="G392" t="s">
        <v>102</v>
      </c>
    </row>
    <row r="393" spans="1:7" x14ac:dyDescent="0.3">
      <c r="A393">
        <v>3.9199999999999604</v>
      </c>
      <c r="B393">
        <v>-0.9599999999999802</v>
      </c>
      <c r="C393">
        <v>0</v>
      </c>
      <c r="D393">
        <v>0.5400000000000198</v>
      </c>
      <c r="E393">
        <v>0</v>
      </c>
      <c r="F393" t="s">
        <v>103</v>
      </c>
      <c r="G393" t="s">
        <v>102</v>
      </c>
    </row>
    <row r="394" spans="1:7" x14ac:dyDescent="0.3">
      <c r="A394">
        <v>3.9299999999999602</v>
      </c>
      <c r="B394">
        <v>-0.9649999999999801</v>
      </c>
      <c r="C394">
        <v>0</v>
      </c>
      <c r="D394">
        <v>0.5350000000000199</v>
      </c>
      <c r="E394">
        <v>0</v>
      </c>
      <c r="F394" t="s">
        <v>103</v>
      </c>
      <c r="G394" t="s">
        <v>102</v>
      </c>
    </row>
    <row r="395" spans="1:7" x14ac:dyDescent="0.3">
      <c r="A395">
        <v>3.93999999999996</v>
      </c>
      <c r="B395">
        <v>-0.96999999999997999</v>
      </c>
      <c r="C395">
        <v>0</v>
      </c>
      <c r="D395">
        <v>0.53000000000002001</v>
      </c>
      <c r="E395">
        <v>0</v>
      </c>
      <c r="F395" t="s">
        <v>103</v>
      </c>
      <c r="G395" t="s">
        <v>102</v>
      </c>
    </row>
    <row r="396" spans="1:7" x14ac:dyDescent="0.3">
      <c r="A396">
        <v>3.9499999999999598</v>
      </c>
      <c r="B396">
        <v>-0.97499999999997988</v>
      </c>
      <c r="C396">
        <v>0</v>
      </c>
      <c r="D396">
        <v>0.52500000000002012</v>
      </c>
      <c r="E396">
        <v>0</v>
      </c>
      <c r="F396" t="s">
        <v>103</v>
      </c>
      <c r="G396" t="s">
        <v>102</v>
      </c>
    </row>
    <row r="397" spans="1:7" x14ac:dyDescent="0.3">
      <c r="A397">
        <v>3.9599999999999596</v>
      </c>
      <c r="B397">
        <v>-0.97999999999997978</v>
      </c>
      <c r="C397">
        <v>0</v>
      </c>
      <c r="D397">
        <v>0.52000000000002022</v>
      </c>
      <c r="E397">
        <v>0</v>
      </c>
      <c r="F397" t="s">
        <v>103</v>
      </c>
      <c r="G397" t="s">
        <v>102</v>
      </c>
    </row>
    <row r="398" spans="1:7" x14ac:dyDescent="0.3">
      <c r="A398">
        <v>3.9699999999999593</v>
      </c>
      <c r="B398">
        <v>-0.98499999999997967</v>
      </c>
      <c r="C398">
        <v>0</v>
      </c>
      <c r="D398">
        <v>0.51500000000002033</v>
      </c>
      <c r="E398">
        <v>0</v>
      </c>
      <c r="F398" t="s">
        <v>103</v>
      </c>
      <c r="G398" t="s">
        <v>102</v>
      </c>
    </row>
    <row r="399" spans="1:7" x14ac:dyDescent="0.3">
      <c r="A399">
        <v>3.9799999999999591</v>
      </c>
      <c r="B399">
        <v>-0.98999999999997956</v>
      </c>
      <c r="C399">
        <v>0</v>
      </c>
      <c r="D399">
        <v>0.51000000000002044</v>
      </c>
      <c r="E399">
        <v>0</v>
      </c>
      <c r="F399" t="s">
        <v>103</v>
      </c>
      <c r="G399" t="s">
        <v>102</v>
      </c>
    </row>
    <row r="400" spans="1:7" x14ac:dyDescent="0.3">
      <c r="A400">
        <v>3.9899999999999589</v>
      </c>
      <c r="B400">
        <v>-0.99499999999997946</v>
      </c>
      <c r="C400">
        <v>0</v>
      </c>
      <c r="D400">
        <v>0.50500000000002054</v>
      </c>
      <c r="E400">
        <v>0</v>
      </c>
      <c r="F400" t="s">
        <v>103</v>
      </c>
      <c r="G400" t="s">
        <v>102</v>
      </c>
    </row>
    <row r="401" spans="1:7" x14ac:dyDescent="0.3">
      <c r="A401">
        <v>3.9999999999999587</v>
      </c>
      <c r="B401">
        <v>-0.99999999999997935</v>
      </c>
      <c r="C401">
        <v>0</v>
      </c>
      <c r="D401">
        <v>0.50000000000002065</v>
      </c>
      <c r="E401">
        <v>0</v>
      </c>
      <c r="F401" t="s">
        <v>103</v>
      </c>
      <c r="G401" t="s">
        <v>102</v>
      </c>
    </row>
    <row r="402" spans="1:7" x14ac:dyDescent="0.3">
      <c r="A402">
        <v>4.0099999999999589</v>
      </c>
      <c r="B402">
        <v>-0.99000000000004107</v>
      </c>
      <c r="C402">
        <v>9.9999999999589306E-3</v>
      </c>
      <c r="D402">
        <v>0.49500000000002053</v>
      </c>
      <c r="E402">
        <v>0</v>
      </c>
      <c r="F402" t="s">
        <v>100</v>
      </c>
      <c r="G402" t="s">
        <v>102</v>
      </c>
    </row>
    <row r="403" spans="1:7" x14ac:dyDescent="0.3">
      <c r="A403">
        <v>4.0199999999999587</v>
      </c>
      <c r="B403">
        <v>-0.98000000000004128</v>
      </c>
      <c r="C403">
        <v>1.9999999999958717E-2</v>
      </c>
      <c r="D403">
        <v>0.49000000000002064</v>
      </c>
      <c r="E403">
        <v>0</v>
      </c>
      <c r="F403" t="s">
        <v>100</v>
      </c>
      <c r="G403" t="s">
        <v>102</v>
      </c>
    </row>
    <row r="404" spans="1:7" x14ac:dyDescent="0.3">
      <c r="A404">
        <v>4.0299999999999585</v>
      </c>
      <c r="B404">
        <v>-0.9700000000000415</v>
      </c>
      <c r="C404">
        <v>2.9999999999958504E-2</v>
      </c>
      <c r="D404">
        <v>0.48500000000002075</v>
      </c>
      <c r="E404">
        <v>0</v>
      </c>
      <c r="F404" t="s">
        <v>100</v>
      </c>
      <c r="G404" t="s">
        <v>102</v>
      </c>
    </row>
    <row r="405" spans="1:7" x14ac:dyDescent="0.3">
      <c r="A405">
        <v>4.0399999999999583</v>
      </c>
      <c r="B405">
        <v>-0.96000000000004171</v>
      </c>
      <c r="C405">
        <v>3.9999999999958291E-2</v>
      </c>
      <c r="D405">
        <v>0.48000000000002085</v>
      </c>
      <c r="E405">
        <v>0</v>
      </c>
      <c r="F405" t="s">
        <v>100</v>
      </c>
      <c r="G405" t="s">
        <v>102</v>
      </c>
    </row>
    <row r="406" spans="1:7" x14ac:dyDescent="0.3">
      <c r="A406">
        <v>4.0499999999999581</v>
      </c>
      <c r="B406">
        <v>-0.95000000000004192</v>
      </c>
      <c r="C406">
        <v>4.9999999999958078E-2</v>
      </c>
      <c r="D406">
        <v>0.47500000000002096</v>
      </c>
      <c r="E406">
        <v>0</v>
      </c>
      <c r="F406" t="s">
        <v>100</v>
      </c>
      <c r="G406" t="s">
        <v>102</v>
      </c>
    </row>
    <row r="407" spans="1:7" x14ac:dyDescent="0.3">
      <c r="A407">
        <v>4.0599999999999579</v>
      </c>
      <c r="B407">
        <v>-0.94000000000004214</v>
      </c>
      <c r="C407">
        <v>5.9999999999957865E-2</v>
      </c>
      <c r="D407">
        <v>0.47000000000002107</v>
      </c>
      <c r="E407">
        <v>0</v>
      </c>
      <c r="F407" t="s">
        <v>100</v>
      </c>
      <c r="G407" t="s">
        <v>102</v>
      </c>
    </row>
    <row r="408" spans="1:7" x14ac:dyDescent="0.3">
      <c r="A408">
        <v>4.0699999999999577</v>
      </c>
      <c r="B408">
        <v>-0.93000000000004235</v>
      </c>
      <c r="C408">
        <v>6.9999999999957652E-2</v>
      </c>
      <c r="D408">
        <v>0.46500000000002117</v>
      </c>
      <c r="E408">
        <v>0</v>
      </c>
      <c r="F408" t="s">
        <v>100</v>
      </c>
      <c r="G408" t="s">
        <v>102</v>
      </c>
    </row>
    <row r="409" spans="1:7" x14ac:dyDescent="0.3">
      <c r="A409">
        <v>4.0799999999999574</v>
      </c>
      <c r="B409">
        <v>-0.92000000000004256</v>
      </c>
      <c r="C409">
        <v>7.9999999999957438E-2</v>
      </c>
      <c r="D409">
        <v>0.46000000000002128</v>
      </c>
      <c r="E409">
        <v>0</v>
      </c>
      <c r="F409" t="s">
        <v>100</v>
      </c>
      <c r="G409" t="s">
        <v>102</v>
      </c>
    </row>
    <row r="410" spans="1:7" x14ac:dyDescent="0.3">
      <c r="A410">
        <v>4.0899999999999572</v>
      </c>
      <c r="B410">
        <v>-0.91000000000004277</v>
      </c>
      <c r="C410">
        <v>8.9999999999957225E-2</v>
      </c>
      <c r="D410">
        <v>0.45500000000002139</v>
      </c>
      <c r="E410">
        <v>0</v>
      </c>
      <c r="F410" t="s">
        <v>100</v>
      </c>
      <c r="G410" t="s">
        <v>102</v>
      </c>
    </row>
    <row r="411" spans="1:7" x14ac:dyDescent="0.3">
      <c r="A411">
        <v>4.099999999999957</v>
      </c>
      <c r="B411">
        <v>-0.90000000000004299</v>
      </c>
      <c r="C411">
        <v>9.9999999999957012E-2</v>
      </c>
      <c r="D411">
        <v>0.45000000000002149</v>
      </c>
      <c r="E411">
        <v>0</v>
      </c>
      <c r="F411" t="s">
        <v>100</v>
      </c>
      <c r="G411" t="s">
        <v>102</v>
      </c>
    </row>
    <row r="412" spans="1:7" x14ac:dyDescent="0.3">
      <c r="A412">
        <v>4.1099999999999568</v>
      </c>
      <c r="B412">
        <v>-0.8900000000000432</v>
      </c>
      <c r="C412">
        <v>0.1099999999999568</v>
      </c>
      <c r="D412">
        <v>0.4450000000000216</v>
      </c>
      <c r="E412">
        <v>0</v>
      </c>
      <c r="F412" t="s">
        <v>100</v>
      </c>
      <c r="G412" t="s">
        <v>102</v>
      </c>
    </row>
    <row r="413" spans="1:7" x14ac:dyDescent="0.3">
      <c r="A413">
        <v>4.1199999999999566</v>
      </c>
      <c r="B413">
        <v>-0.88000000000004341</v>
      </c>
      <c r="C413">
        <v>0.11999999999995659</v>
      </c>
      <c r="D413">
        <v>0.44000000000002171</v>
      </c>
      <c r="E413">
        <v>0</v>
      </c>
      <c r="F413" t="s">
        <v>100</v>
      </c>
      <c r="G413" t="s">
        <v>102</v>
      </c>
    </row>
    <row r="414" spans="1:7" x14ac:dyDescent="0.3">
      <c r="A414">
        <v>4.1299999999999564</v>
      </c>
      <c r="B414">
        <v>-0.87000000000004363</v>
      </c>
      <c r="C414">
        <v>0.12999999999995637</v>
      </c>
      <c r="D414">
        <v>0.43500000000002181</v>
      </c>
      <c r="E414">
        <v>0</v>
      </c>
      <c r="F414" t="s">
        <v>100</v>
      </c>
      <c r="G414" t="s">
        <v>102</v>
      </c>
    </row>
    <row r="415" spans="1:7" x14ac:dyDescent="0.3">
      <c r="A415">
        <v>4.1399999999999562</v>
      </c>
      <c r="B415">
        <v>-0.86000000000004384</v>
      </c>
      <c r="C415">
        <v>0.13999999999995616</v>
      </c>
      <c r="D415">
        <v>0.43000000000002192</v>
      </c>
      <c r="E415">
        <v>0</v>
      </c>
      <c r="F415" t="s">
        <v>100</v>
      </c>
      <c r="G415" t="s">
        <v>102</v>
      </c>
    </row>
    <row r="416" spans="1:7" x14ac:dyDescent="0.3">
      <c r="A416">
        <v>4.1499999999999559</v>
      </c>
      <c r="B416">
        <v>-0.85000000000004405</v>
      </c>
      <c r="C416">
        <v>0.14999999999995595</v>
      </c>
      <c r="D416">
        <v>0.42500000000002203</v>
      </c>
      <c r="E416">
        <v>0</v>
      </c>
      <c r="F416" t="s">
        <v>100</v>
      </c>
      <c r="G416" t="s">
        <v>102</v>
      </c>
    </row>
    <row r="417" spans="1:7" x14ac:dyDescent="0.3">
      <c r="A417">
        <v>4.1599999999999557</v>
      </c>
      <c r="B417">
        <v>-0.84000000000004427</v>
      </c>
      <c r="C417">
        <v>0.15999999999995573</v>
      </c>
      <c r="D417">
        <v>0.42000000000002213</v>
      </c>
      <c r="E417">
        <v>0</v>
      </c>
      <c r="F417" t="s">
        <v>100</v>
      </c>
      <c r="G417" t="s">
        <v>102</v>
      </c>
    </row>
    <row r="418" spans="1:7" x14ac:dyDescent="0.3">
      <c r="A418">
        <v>4.1699999999999555</v>
      </c>
      <c r="B418">
        <v>-0.83000000000004448</v>
      </c>
      <c r="C418">
        <v>0.16999999999995552</v>
      </c>
      <c r="D418">
        <v>0.41500000000002224</v>
      </c>
      <c r="E418">
        <v>0</v>
      </c>
      <c r="F418" t="s">
        <v>100</v>
      </c>
      <c r="G418" t="s">
        <v>102</v>
      </c>
    </row>
    <row r="419" spans="1:7" x14ac:dyDescent="0.3">
      <c r="A419">
        <v>4.1799999999999553</v>
      </c>
      <c r="B419">
        <v>-0.82000000000004469</v>
      </c>
      <c r="C419">
        <v>0.17999999999995531</v>
      </c>
      <c r="D419">
        <v>0.41000000000002235</v>
      </c>
      <c r="E419">
        <v>0</v>
      </c>
      <c r="F419" t="s">
        <v>100</v>
      </c>
      <c r="G419" t="s">
        <v>102</v>
      </c>
    </row>
    <row r="420" spans="1:7" x14ac:dyDescent="0.3">
      <c r="A420">
        <v>4.1899999999999551</v>
      </c>
      <c r="B420">
        <v>-0.81000000000004491</v>
      </c>
      <c r="C420">
        <v>0.18999999999995509</v>
      </c>
      <c r="D420">
        <v>0.40500000000002245</v>
      </c>
      <c r="E420">
        <v>0</v>
      </c>
      <c r="F420" t="s">
        <v>100</v>
      </c>
      <c r="G420" t="s">
        <v>102</v>
      </c>
    </row>
    <row r="421" spans="1:7" x14ac:dyDescent="0.3">
      <c r="A421">
        <v>4.1999999999999549</v>
      </c>
      <c r="B421">
        <v>-0.80000000000004512</v>
      </c>
      <c r="C421">
        <v>0.19999999999995488</v>
      </c>
      <c r="D421">
        <v>0.40000000000002256</v>
      </c>
      <c r="E421">
        <v>0</v>
      </c>
      <c r="F421" t="s">
        <v>100</v>
      </c>
      <c r="G421" t="s">
        <v>102</v>
      </c>
    </row>
    <row r="422" spans="1:7" x14ac:dyDescent="0.3">
      <c r="A422">
        <v>4.2099999999999547</v>
      </c>
      <c r="B422">
        <v>-0.79000000000004533</v>
      </c>
      <c r="C422">
        <v>0.20999999999995467</v>
      </c>
      <c r="D422">
        <v>0.39500000000002267</v>
      </c>
      <c r="E422">
        <v>0</v>
      </c>
      <c r="F422" t="s">
        <v>100</v>
      </c>
      <c r="G422" t="s">
        <v>102</v>
      </c>
    </row>
    <row r="423" spans="1:7" x14ac:dyDescent="0.3">
      <c r="A423">
        <v>4.2199999999999545</v>
      </c>
      <c r="B423">
        <v>-0.78000000000004555</v>
      </c>
      <c r="C423">
        <v>0.21999999999995445</v>
      </c>
      <c r="D423">
        <v>0.39000000000002277</v>
      </c>
      <c r="E423">
        <v>0</v>
      </c>
      <c r="F423" t="s">
        <v>100</v>
      </c>
      <c r="G423" t="s">
        <v>102</v>
      </c>
    </row>
    <row r="424" spans="1:7" x14ac:dyDescent="0.3">
      <c r="A424">
        <v>4.2299999999999542</v>
      </c>
      <c r="B424">
        <v>-0.77000000000004576</v>
      </c>
      <c r="C424">
        <v>0.22999999999995424</v>
      </c>
      <c r="D424">
        <v>0.38500000000002288</v>
      </c>
      <c r="E424">
        <v>0</v>
      </c>
      <c r="F424" t="s">
        <v>100</v>
      </c>
      <c r="G424" t="s">
        <v>102</v>
      </c>
    </row>
    <row r="425" spans="1:7" x14ac:dyDescent="0.3">
      <c r="A425">
        <v>4.239999999999954</v>
      </c>
      <c r="B425">
        <v>-0.76000000000004597</v>
      </c>
      <c r="C425">
        <v>0.23999999999995403</v>
      </c>
      <c r="D425">
        <v>0.38000000000002299</v>
      </c>
      <c r="E425">
        <v>0</v>
      </c>
      <c r="F425" t="s">
        <v>100</v>
      </c>
      <c r="G425" t="s">
        <v>102</v>
      </c>
    </row>
    <row r="426" spans="1:7" x14ac:dyDescent="0.3">
      <c r="A426">
        <v>4.2499999999999538</v>
      </c>
      <c r="B426">
        <v>-0.75000000000004619</v>
      </c>
      <c r="C426">
        <v>0.24999999999995381</v>
      </c>
      <c r="D426">
        <v>0.37500000000002309</v>
      </c>
      <c r="E426">
        <v>0</v>
      </c>
      <c r="F426" t="s">
        <v>100</v>
      </c>
      <c r="G426" t="s">
        <v>102</v>
      </c>
    </row>
    <row r="427" spans="1:7" x14ac:dyDescent="0.3">
      <c r="A427">
        <v>4.2599999999999536</v>
      </c>
      <c r="B427">
        <v>-0.7400000000000464</v>
      </c>
      <c r="C427">
        <v>0.2599999999999536</v>
      </c>
      <c r="D427">
        <v>0.3700000000000232</v>
      </c>
      <c r="E427">
        <v>0</v>
      </c>
      <c r="F427" t="s">
        <v>100</v>
      </c>
      <c r="G427" t="s">
        <v>102</v>
      </c>
    </row>
    <row r="428" spans="1:7" x14ac:dyDescent="0.3">
      <c r="A428">
        <v>4.2699999999999534</v>
      </c>
      <c r="B428">
        <v>-0.73000000000004661</v>
      </c>
      <c r="C428">
        <v>0.26999999999995339</v>
      </c>
      <c r="D428">
        <v>0.36500000000002331</v>
      </c>
      <c r="E428">
        <v>0</v>
      </c>
      <c r="F428" t="s">
        <v>100</v>
      </c>
      <c r="G428" t="s">
        <v>102</v>
      </c>
    </row>
    <row r="429" spans="1:7" x14ac:dyDescent="0.3">
      <c r="A429">
        <v>4.2799999999999532</v>
      </c>
      <c r="B429">
        <v>-0.72000000000004682</v>
      </c>
      <c r="C429">
        <v>0.27999999999995318</v>
      </c>
      <c r="D429">
        <v>0.36000000000002341</v>
      </c>
      <c r="E429">
        <v>0</v>
      </c>
      <c r="F429" t="s">
        <v>100</v>
      </c>
      <c r="G429" t="s">
        <v>102</v>
      </c>
    </row>
    <row r="430" spans="1:7" x14ac:dyDescent="0.3">
      <c r="A430">
        <v>4.289999999999953</v>
      </c>
      <c r="B430">
        <v>-0.71000000000004704</v>
      </c>
      <c r="C430">
        <v>0.28999999999995296</v>
      </c>
      <c r="D430">
        <v>0.35500000000002352</v>
      </c>
      <c r="E430">
        <v>0</v>
      </c>
      <c r="F430" t="s">
        <v>100</v>
      </c>
      <c r="G430" t="s">
        <v>102</v>
      </c>
    </row>
    <row r="431" spans="1:7" x14ac:dyDescent="0.3">
      <c r="A431">
        <v>4.2999999999999527</v>
      </c>
      <c r="B431">
        <v>-0.70000000000004725</v>
      </c>
      <c r="C431">
        <v>0.29999999999995275</v>
      </c>
      <c r="D431">
        <v>0.35000000000002363</v>
      </c>
      <c r="E431">
        <v>0</v>
      </c>
      <c r="F431" t="s">
        <v>100</v>
      </c>
      <c r="G431" t="s">
        <v>102</v>
      </c>
    </row>
    <row r="432" spans="1:7" x14ac:dyDescent="0.3">
      <c r="A432">
        <v>4.3099999999999525</v>
      </c>
      <c r="B432">
        <v>-0.69000000000004746</v>
      </c>
      <c r="C432">
        <v>0.30999999999995254</v>
      </c>
      <c r="D432">
        <v>0.34500000000002373</v>
      </c>
      <c r="E432">
        <v>0</v>
      </c>
      <c r="F432" t="s">
        <v>100</v>
      </c>
      <c r="G432" t="s">
        <v>102</v>
      </c>
    </row>
    <row r="433" spans="1:7" x14ac:dyDescent="0.3">
      <c r="A433">
        <v>4.3199999999999523</v>
      </c>
      <c r="B433">
        <v>-0.68000000000004768</v>
      </c>
      <c r="C433">
        <v>0.31999999999995232</v>
      </c>
      <c r="D433">
        <v>0.34000000000002384</v>
      </c>
      <c r="E433">
        <v>0</v>
      </c>
      <c r="F433" t="s">
        <v>100</v>
      </c>
      <c r="G433" t="s">
        <v>102</v>
      </c>
    </row>
    <row r="434" spans="1:7" x14ac:dyDescent="0.3">
      <c r="A434">
        <v>4.3299999999999521</v>
      </c>
      <c r="B434">
        <v>-0.67000000000004789</v>
      </c>
      <c r="C434">
        <v>0.32999999999995211</v>
      </c>
      <c r="D434">
        <v>0.33500000000002395</v>
      </c>
      <c r="E434">
        <v>0</v>
      </c>
      <c r="F434" t="s">
        <v>100</v>
      </c>
      <c r="G434" t="s">
        <v>102</v>
      </c>
    </row>
    <row r="435" spans="1:7" x14ac:dyDescent="0.3">
      <c r="A435">
        <v>4.3399999999999519</v>
      </c>
      <c r="B435">
        <v>-0.6600000000000481</v>
      </c>
      <c r="C435">
        <v>0.3399999999999519</v>
      </c>
      <c r="D435">
        <v>0.33000000000002405</v>
      </c>
      <c r="E435">
        <v>0</v>
      </c>
      <c r="F435" t="s">
        <v>100</v>
      </c>
      <c r="G435" t="s">
        <v>102</v>
      </c>
    </row>
    <row r="436" spans="1:7" x14ac:dyDescent="0.3">
      <c r="A436">
        <v>4.3499999999999517</v>
      </c>
      <c r="B436">
        <v>-0.65000000000004832</v>
      </c>
      <c r="C436">
        <v>0.34999999999995168</v>
      </c>
      <c r="D436">
        <v>0.32500000000002416</v>
      </c>
      <c r="E436">
        <v>0</v>
      </c>
      <c r="F436" t="s">
        <v>100</v>
      </c>
      <c r="G436" t="s">
        <v>102</v>
      </c>
    </row>
    <row r="437" spans="1:7" x14ac:dyDescent="0.3">
      <c r="A437">
        <v>4.3599999999999515</v>
      </c>
      <c r="B437">
        <v>-0.64000000000004853</v>
      </c>
      <c r="C437">
        <v>0.35999999999995147</v>
      </c>
      <c r="D437">
        <v>0.32000000000002427</v>
      </c>
      <c r="E437">
        <v>0</v>
      </c>
      <c r="F437" t="s">
        <v>100</v>
      </c>
      <c r="G437" t="s">
        <v>102</v>
      </c>
    </row>
    <row r="438" spans="1:7" x14ac:dyDescent="0.3">
      <c r="A438">
        <v>4.3699999999999513</v>
      </c>
      <c r="B438">
        <v>-0.63000000000004874</v>
      </c>
      <c r="C438">
        <v>0.36999999999995126</v>
      </c>
      <c r="D438">
        <v>0.31500000000002437</v>
      </c>
      <c r="E438">
        <v>0</v>
      </c>
      <c r="F438" t="s">
        <v>100</v>
      </c>
      <c r="G438" t="s">
        <v>102</v>
      </c>
    </row>
    <row r="439" spans="1:7" x14ac:dyDescent="0.3">
      <c r="A439">
        <v>4.379999999999951</v>
      </c>
      <c r="B439">
        <v>-0.62000000000004896</v>
      </c>
      <c r="C439">
        <v>0.37999999999995104</v>
      </c>
      <c r="D439">
        <v>0.31000000000002448</v>
      </c>
      <c r="E439">
        <v>0</v>
      </c>
      <c r="F439" t="s">
        <v>100</v>
      </c>
      <c r="G439" t="s">
        <v>102</v>
      </c>
    </row>
    <row r="440" spans="1:7" x14ac:dyDescent="0.3">
      <c r="A440">
        <v>4.3899999999999508</v>
      </c>
      <c r="B440">
        <v>-0.61000000000004917</v>
      </c>
      <c r="C440">
        <v>0.38999999999995083</v>
      </c>
      <c r="D440">
        <v>0.30500000000002458</v>
      </c>
      <c r="E440">
        <v>0</v>
      </c>
      <c r="F440" t="s">
        <v>100</v>
      </c>
      <c r="G440" t="s">
        <v>102</v>
      </c>
    </row>
    <row r="441" spans="1:7" x14ac:dyDescent="0.3">
      <c r="A441">
        <v>4.3999999999999506</v>
      </c>
      <c r="B441">
        <v>-0.60000000000004938</v>
      </c>
      <c r="C441">
        <v>0.39999999999995062</v>
      </c>
      <c r="D441">
        <v>0.30000000000002469</v>
      </c>
      <c r="E441">
        <v>0</v>
      </c>
      <c r="F441" t="s">
        <v>100</v>
      </c>
      <c r="G441" t="s">
        <v>102</v>
      </c>
    </row>
    <row r="442" spans="1:7" x14ac:dyDescent="0.3">
      <c r="A442">
        <v>4.4099999999999504</v>
      </c>
      <c r="B442">
        <v>-0.5900000000000496</v>
      </c>
      <c r="C442">
        <v>0.4099999999999504</v>
      </c>
      <c r="D442">
        <v>0.2950000000000248</v>
      </c>
      <c r="E442">
        <v>0</v>
      </c>
      <c r="F442" t="s">
        <v>100</v>
      </c>
      <c r="G442" t="s">
        <v>102</v>
      </c>
    </row>
    <row r="443" spans="1:7" x14ac:dyDescent="0.3">
      <c r="A443">
        <v>4.4199999999999502</v>
      </c>
      <c r="B443">
        <v>-0.58000000000004981</v>
      </c>
      <c r="C443">
        <v>0.41999999999995019</v>
      </c>
      <c r="D443">
        <v>0.2900000000000249</v>
      </c>
      <c r="E443">
        <v>0</v>
      </c>
      <c r="F443" t="s">
        <v>100</v>
      </c>
      <c r="G443" t="s">
        <v>102</v>
      </c>
    </row>
    <row r="444" spans="1:7" x14ac:dyDescent="0.3">
      <c r="A444">
        <v>4.42999999999995</v>
      </c>
      <c r="B444">
        <v>-0.57000000000005002</v>
      </c>
      <c r="C444">
        <v>0.42999999999994998</v>
      </c>
      <c r="D444">
        <v>0.28500000000002501</v>
      </c>
      <c r="E444">
        <v>0</v>
      </c>
      <c r="F444" t="s">
        <v>100</v>
      </c>
      <c r="G444" t="s">
        <v>102</v>
      </c>
    </row>
    <row r="445" spans="1:7" x14ac:dyDescent="0.3">
      <c r="A445">
        <v>4.4399999999999498</v>
      </c>
      <c r="B445">
        <v>-0.56000000000005024</v>
      </c>
      <c r="C445">
        <v>0.43999999999994976</v>
      </c>
      <c r="D445">
        <v>0.28000000000002512</v>
      </c>
      <c r="E445">
        <v>0</v>
      </c>
      <c r="F445" t="s">
        <v>100</v>
      </c>
      <c r="G445" t="s">
        <v>102</v>
      </c>
    </row>
    <row r="446" spans="1:7" x14ac:dyDescent="0.3">
      <c r="A446">
        <v>4.4499999999999496</v>
      </c>
      <c r="B446">
        <v>-0.55000000000005045</v>
      </c>
      <c r="C446">
        <v>0.44999999999994955</v>
      </c>
      <c r="D446">
        <v>0.27500000000002522</v>
      </c>
      <c r="E446">
        <v>0</v>
      </c>
      <c r="F446" t="s">
        <v>100</v>
      </c>
      <c r="G446" t="s">
        <v>102</v>
      </c>
    </row>
    <row r="447" spans="1:7" x14ac:dyDescent="0.3">
      <c r="A447">
        <v>4.4599999999999493</v>
      </c>
      <c r="B447">
        <v>-0.54000000000005066</v>
      </c>
      <c r="C447">
        <v>0.45999999999994934</v>
      </c>
      <c r="D447">
        <v>0.27000000000002533</v>
      </c>
      <c r="E447">
        <v>0</v>
      </c>
      <c r="F447" t="s">
        <v>100</v>
      </c>
      <c r="G447" t="s">
        <v>102</v>
      </c>
    </row>
    <row r="448" spans="1:7" x14ac:dyDescent="0.3">
      <c r="A448">
        <v>4.4699999999999491</v>
      </c>
      <c r="B448">
        <v>-0.53000000000005087</v>
      </c>
      <c r="C448">
        <v>0.46999999999994913</v>
      </c>
      <c r="D448">
        <v>0.26500000000002544</v>
      </c>
      <c r="E448">
        <v>0</v>
      </c>
      <c r="F448" t="s">
        <v>100</v>
      </c>
      <c r="G448" t="s">
        <v>102</v>
      </c>
    </row>
    <row r="449" spans="1:7" x14ac:dyDescent="0.3">
      <c r="A449">
        <v>4.4799999999999489</v>
      </c>
      <c r="B449">
        <v>-0.52000000000005109</v>
      </c>
      <c r="C449">
        <v>0.47999999999994891</v>
      </c>
      <c r="D449">
        <v>0.26000000000002554</v>
      </c>
      <c r="E449">
        <v>0</v>
      </c>
      <c r="F449" t="s">
        <v>100</v>
      </c>
      <c r="G449" t="s">
        <v>102</v>
      </c>
    </row>
    <row r="450" spans="1:7" x14ac:dyDescent="0.3">
      <c r="A450">
        <v>4.4899999999999487</v>
      </c>
      <c r="B450">
        <v>-0.5100000000000513</v>
      </c>
      <c r="C450">
        <v>0.4899999999999487</v>
      </c>
      <c r="D450">
        <v>0.25500000000002565</v>
      </c>
      <c r="E450">
        <v>0</v>
      </c>
      <c r="F450" t="s">
        <v>100</v>
      </c>
      <c r="G450" t="s">
        <v>102</v>
      </c>
    </row>
    <row r="451" spans="1:7" x14ac:dyDescent="0.3">
      <c r="A451">
        <v>4.4999999999999485</v>
      </c>
      <c r="B451">
        <v>-0.50000000000005151</v>
      </c>
      <c r="C451">
        <v>0.49999999999994849</v>
      </c>
      <c r="D451">
        <v>0.25000000000002576</v>
      </c>
      <c r="E451">
        <v>0</v>
      </c>
      <c r="F451" t="s">
        <v>100</v>
      </c>
      <c r="G451" t="s">
        <v>102</v>
      </c>
    </row>
    <row r="452" spans="1:7" x14ac:dyDescent="0.3">
      <c r="A452">
        <v>4.5099999999999483</v>
      </c>
      <c r="B452">
        <v>-0.49000000000005173</v>
      </c>
      <c r="C452">
        <v>0.50999999999994827</v>
      </c>
      <c r="D452">
        <v>0.24500000000002586</v>
      </c>
      <c r="E452">
        <v>0</v>
      </c>
      <c r="F452" t="s">
        <v>100</v>
      </c>
      <c r="G452" t="s">
        <v>102</v>
      </c>
    </row>
    <row r="453" spans="1:7" x14ac:dyDescent="0.3">
      <c r="A453">
        <v>4.5199999999999481</v>
      </c>
      <c r="B453">
        <v>-0.48000000000005194</v>
      </c>
      <c r="C453">
        <v>0.51999999999994806</v>
      </c>
      <c r="D453">
        <v>0.24000000000002597</v>
      </c>
      <c r="E453">
        <v>0</v>
      </c>
      <c r="F453" t="s">
        <v>100</v>
      </c>
      <c r="G453" t="s">
        <v>102</v>
      </c>
    </row>
    <row r="454" spans="1:7" x14ac:dyDescent="0.3">
      <c r="A454">
        <v>4.5299999999999478</v>
      </c>
      <c r="B454">
        <v>-0.47000000000005215</v>
      </c>
      <c r="C454">
        <v>0.52999999999994785</v>
      </c>
      <c r="D454">
        <v>0.23500000000002608</v>
      </c>
      <c r="E454">
        <v>0</v>
      </c>
      <c r="F454" t="s">
        <v>100</v>
      </c>
      <c r="G454" t="s">
        <v>102</v>
      </c>
    </row>
    <row r="455" spans="1:7" x14ac:dyDescent="0.3">
      <c r="A455">
        <v>4.5399999999999476</v>
      </c>
      <c r="B455">
        <v>-0.46000000000005237</v>
      </c>
      <c r="C455">
        <v>0.53999999999994763</v>
      </c>
      <c r="D455">
        <v>0.23000000000002618</v>
      </c>
      <c r="E455">
        <v>0</v>
      </c>
      <c r="F455" t="s">
        <v>100</v>
      </c>
      <c r="G455" t="s">
        <v>102</v>
      </c>
    </row>
    <row r="456" spans="1:7" x14ac:dyDescent="0.3">
      <c r="A456">
        <v>4.5499999999999474</v>
      </c>
      <c r="B456">
        <v>-0.45000000000005258</v>
      </c>
      <c r="C456">
        <v>0.54999999999994742</v>
      </c>
      <c r="D456">
        <v>0.22500000000002629</v>
      </c>
      <c r="E456">
        <v>0</v>
      </c>
      <c r="F456" t="s">
        <v>100</v>
      </c>
      <c r="G456" t="s">
        <v>102</v>
      </c>
    </row>
    <row r="457" spans="1:7" x14ac:dyDescent="0.3">
      <c r="A457">
        <v>4.5599999999999472</v>
      </c>
      <c r="B457">
        <v>-0.44000000000005279</v>
      </c>
      <c r="C457">
        <v>0.55999999999994721</v>
      </c>
      <c r="D457">
        <v>0.2200000000000264</v>
      </c>
      <c r="E457">
        <v>0</v>
      </c>
      <c r="F457" t="s">
        <v>100</v>
      </c>
      <c r="G457" t="s">
        <v>102</v>
      </c>
    </row>
    <row r="458" spans="1:7" x14ac:dyDescent="0.3">
      <c r="A458">
        <v>4.569999999999947</v>
      </c>
      <c r="B458">
        <v>-0.43000000000005301</v>
      </c>
      <c r="C458">
        <v>0.56999999999994699</v>
      </c>
      <c r="D458">
        <v>0.2150000000000265</v>
      </c>
      <c r="E458">
        <v>0</v>
      </c>
      <c r="F458" t="s">
        <v>100</v>
      </c>
      <c r="G458" t="s">
        <v>102</v>
      </c>
    </row>
    <row r="459" spans="1:7" x14ac:dyDescent="0.3">
      <c r="A459">
        <v>4.5799999999999468</v>
      </c>
      <c r="B459">
        <v>-0.42000000000005322</v>
      </c>
      <c r="C459">
        <v>0.57999999999994678</v>
      </c>
      <c r="D459">
        <v>0.21000000000002661</v>
      </c>
      <c r="E459">
        <v>0</v>
      </c>
      <c r="F459" t="s">
        <v>100</v>
      </c>
      <c r="G459" t="s">
        <v>102</v>
      </c>
    </row>
    <row r="460" spans="1:7" x14ac:dyDescent="0.3">
      <c r="A460">
        <v>4.5899999999999466</v>
      </c>
      <c r="B460">
        <v>-0.41000000000005343</v>
      </c>
      <c r="C460">
        <v>0.58999999999994657</v>
      </c>
      <c r="D460">
        <v>0.20500000000002672</v>
      </c>
      <c r="E460">
        <v>0</v>
      </c>
      <c r="F460" t="s">
        <v>100</v>
      </c>
      <c r="G460" t="s">
        <v>102</v>
      </c>
    </row>
    <row r="461" spans="1:7" x14ac:dyDescent="0.3">
      <c r="A461">
        <v>4.5999999999999464</v>
      </c>
      <c r="B461">
        <v>-0.40000000000005365</v>
      </c>
      <c r="C461">
        <v>0.59999999999994635</v>
      </c>
      <c r="D461">
        <v>0.20000000000002682</v>
      </c>
      <c r="E461">
        <v>0</v>
      </c>
      <c r="F461" t="s">
        <v>100</v>
      </c>
      <c r="G461" t="s">
        <v>102</v>
      </c>
    </row>
    <row r="462" spans="1:7" x14ac:dyDescent="0.3">
      <c r="A462">
        <v>4.6099999999999461</v>
      </c>
      <c r="B462">
        <v>-0.39000000000005386</v>
      </c>
      <c r="C462">
        <v>0.60999999999994614</v>
      </c>
      <c r="D462">
        <v>0.19500000000002693</v>
      </c>
      <c r="E462">
        <v>0</v>
      </c>
      <c r="F462" t="s">
        <v>100</v>
      </c>
      <c r="G462" t="s">
        <v>102</v>
      </c>
    </row>
    <row r="463" spans="1:7" x14ac:dyDescent="0.3">
      <c r="A463">
        <v>4.6199999999999459</v>
      </c>
      <c r="B463">
        <v>-0.38000000000005407</v>
      </c>
      <c r="C463">
        <v>0.61999999999994593</v>
      </c>
      <c r="D463">
        <v>0.19000000000002704</v>
      </c>
      <c r="E463">
        <v>0</v>
      </c>
      <c r="F463" t="s">
        <v>100</v>
      </c>
      <c r="G463" t="s">
        <v>102</v>
      </c>
    </row>
    <row r="464" spans="1:7" x14ac:dyDescent="0.3">
      <c r="A464">
        <v>4.6299999999999457</v>
      </c>
      <c r="B464">
        <v>-0.37000000000005429</v>
      </c>
      <c r="C464">
        <v>0.62999999999994571</v>
      </c>
      <c r="D464">
        <v>0.18500000000002714</v>
      </c>
      <c r="E464">
        <v>0</v>
      </c>
      <c r="F464" t="s">
        <v>100</v>
      </c>
      <c r="G464" t="s">
        <v>102</v>
      </c>
    </row>
    <row r="465" spans="1:7" x14ac:dyDescent="0.3">
      <c r="A465">
        <v>4.6399999999999455</v>
      </c>
      <c r="B465">
        <v>-0.3600000000000545</v>
      </c>
      <c r="C465">
        <v>0.6399999999999455</v>
      </c>
      <c r="D465">
        <v>0.18000000000002725</v>
      </c>
      <c r="E465">
        <v>0</v>
      </c>
      <c r="F465" t="s">
        <v>100</v>
      </c>
      <c r="G465" t="s">
        <v>102</v>
      </c>
    </row>
    <row r="466" spans="1:7" x14ac:dyDescent="0.3">
      <c r="A466">
        <v>4.6499999999999453</v>
      </c>
      <c r="B466">
        <v>-0.35000000000005471</v>
      </c>
      <c r="C466">
        <v>0.64999999999994529</v>
      </c>
      <c r="D466">
        <v>0.17500000000002736</v>
      </c>
      <c r="E466">
        <v>0</v>
      </c>
      <c r="F466" t="s">
        <v>100</v>
      </c>
      <c r="G466" t="s">
        <v>102</v>
      </c>
    </row>
    <row r="467" spans="1:7" x14ac:dyDescent="0.3">
      <c r="A467">
        <v>4.6599999999999451</v>
      </c>
      <c r="B467">
        <v>-0.34000000000005492</v>
      </c>
      <c r="C467">
        <v>0.65999999999994508</v>
      </c>
      <c r="D467">
        <v>0.17000000000002746</v>
      </c>
      <c r="E467">
        <v>0</v>
      </c>
      <c r="F467" t="s">
        <v>100</v>
      </c>
      <c r="G467" t="s">
        <v>102</v>
      </c>
    </row>
    <row r="468" spans="1:7" x14ac:dyDescent="0.3">
      <c r="A468">
        <v>4.6699999999999449</v>
      </c>
      <c r="B468">
        <v>-0.33000000000005514</v>
      </c>
      <c r="C468">
        <v>0.66999999999994486</v>
      </c>
      <c r="D468">
        <v>0.16500000000002757</v>
      </c>
      <c r="E468">
        <v>0</v>
      </c>
      <c r="F468" t="s">
        <v>100</v>
      </c>
      <c r="G468" t="s">
        <v>102</v>
      </c>
    </row>
    <row r="469" spans="1:7" x14ac:dyDescent="0.3">
      <c r="A469">
        <v>4.6799999999999446</v>
      </c>
      <c r="B469">
        <v>-0.32000000000005535</v>
      </c>
      <c r="C469">
        <v>0.67999999999994465</v>
      </c>
      <c r="D469">
        <v>0.16000000000002768</v>
      </c>
      <c r="E469">
        <v>0</v>
      </c>
      <c r="F469" t="s">
        <v>100</v>
      </c>
      <c r="G469" t="s">
        <v>102</v>
      </c>
    </row>
    <row r="470" spans="1:7" x14ac:dyDescent="0.3">
      <c r="A470">
        <v>4.6899999999999444</v>
      </c>
      <c r="B470">
        <v>-0.31000000000005556</v>
      </c>
      <c r="C470">
        <v>0.68999999999994444</v>
      </c>
      <c r="D470">
        <v>0.15500000000002778</v>
      </c>
      <c r="E470">
        <v>0</v>
      </c>
      <c r="F470" t="s">
        <v>100</v>
      </c>
      <c r="G470" t="s">
        <v>102</v>
      </c>
    </row>
    <row r="471" spans="1:7" x14ac:dyDescent="0.3">
      <c r="A471">
        <v>4.6999999999999442</v>
      </c>
      <c r="B471">
        <v>-0.30000000000005578</v>
      </c>
      <c r="C471">
        <v>0.69999999999994422</v>
      </c>
      <c r="D471">
        <v>0.15000000000002789</v>
      </c>
      <c r="E471">
        <v>0</v>
      </c>
      <c r="F471" t="s">
        <v>100</v>
      </c>
      <c r="G471" t="s">
        <v>102</v>
      </c>
    </row>
    <row r="472" spans="1:7" x14ac:dyDescent="0.3">
      <c r="A472">
        <v>4.709999999999944</v>
      </c>
      <c r="B472">
        <v>-0.29000000000005599</v>
      </c>
      <c r="C472">
        <v>0.70999999999994401</v>
      </c>
      <c r="D472">
        <v>0.145000000000028</v>
      </c>
      <c r="E472">
        <v>0</v>
      </c>
      <c r="F472" t="s">
        <v>100</v>
      </c>
      <c r="G472" t="s">
        <v>102</v>
      </c>
    </row>
    <row r="473" spans="1:7" x14ac:dyDescent="0.3">
      <c r="A473">
        <v>4.7199999999999438</v>
      </c>
      <c r="B473">
        <v>-0.2800000000000562</v>
      </c>
      <c r="C473">
        <v>0.7199999999999438</v>
      </c>
      <c r="D473">
        <v>0.1400000000000281</v>
      </c>
      <c r="E473">
        <v>0</v>
      </c>
      <c r="F473" t="s">
        <v>100</v>
      </c>
      <c r="G473" t="s">
        <v>102</v>
      </c>
    </row>
    <row r="474" spans="1:7" x14ac:dyDescent="0.3">
      <c r="A474">
        <v>4.7299999999999436</v>
      </c>
      <c r="B474">
        <v>-0.27000000000005642</v>
      </c>
      <c r="C474">
        <v>0.72999999999994358</v>
      </c>
      <c r="D474">
        <v>0.13500000000002821</v>
      </c>
      <c r="E474">
        <v>0</v>
      </c>
      <c r="F474" t="s">
        <v>100</v>
      </c>
      <c r="G474" t="s">
        <v>102</v>
      </c>
    </row>
    <row r="475" spans="1:7" x14ac:dyDescent="0.3">
      <c r="A475">
        <v>4.7399999999999434</v>
      </c>
      <c r="B475">
        <v>-0.26000000000005663</v>
      </c>
      <c r="C475">
        <v>0.73999999999994337</v>
      </c>
      <c r="D475">
        <v>0.13000000000002832</v>
      </c>
      <c r="E475">
        <v>0</v>
      </c>
      <c r="F475" t="s">
        <v>100</v>
      </c>
      <c r="G475" t="s">
        <v>102</v>
      </c>
    </row>
    <row r="476" spans="1:7" x14ac:dyDescent="0.3">
      <c r="A476">
        <v>4.7499999999999432</v>
      </c>
      <c r="B476">
        <v>-0.25000000000005684</v>
      </c>
      <c r="C476">
        <v>0.74999999999994316</v>
      </c>
      <c r="D476">
        <v>0.12500000000002842</v>
      </c>
      <c r="E476">
        <v>0</v>
      </c>
      <c r="F476" t="s">
        <v>100</v>
      </c>
      <c r="G476" t="s">
        <v>102</v>
      </c>
    </row>
    <row r="477" spans="1:7" x14ac:dyDescent="0.3">
      <c r="A477">
        <v>4.7599999999999429</v>
      </c>
      <c r="B477">
        <v>-0.24000000000005706</v>
      </c>
      <c r="C477">
        <v>0.75999999999994294</v>
      </c>
      <c r="D477">
        <v>0.12000000000002853</v>
      </c>
      <c r="E477">
        <v>0</v>
      </c>
      <c r="F477" t="s">
        <v>100</v>
      </c>
      <c r="G477" t="s">
        <v>102</v>
      </c>
    </row>
    <row r="478" spans="1:7" x14ac:dyDescent="0.3">
      <c r="A478">
        <v>4.7699999999999427</v>
      </c>
      <c r="B478">
        <v>-0.23000000000005727</v>
      </c>
      <c r="C478">
        <v>0.76999999999994273</v>
      </c>
      <c r="D478">
        <v>0.11500000000002863</v>
      </c>
      <c r="E478">
        <v>0</v>
      </c>
      <c r="F478" t="s">
        <v>100</v>
      </c>
      <c r="G478" t="s">
        <v>102</v>
      </c>
    </row>
    <row r="479" spans="1:7" x14ac:dyDescent="0.3">
      <c r="A479">
        <v>4.7799999999999425</v>
      </c>
      <c r="B479">
        <v>-0.22000000000005748</v>
      </c>
      <c r="C479">
        <v>0.77999999999994252</v>
      </c>
      <c r="D479">
        <v>0.11000000000002874</v>
      </c>
      <c r="E479">
        <v>0</v>
      </c>
      <c r="F479" t="s">
        <v>100</v>
      </c>
      <c r="G479" t="s">
        <v>102</v>
      </c>
    </row>
    <row r="480" spans="1:7" x14ac:dyDescent="0.3">
      <c r="A480">
        <v>4.7899999999999423</v>
      </c>
      <c r="B480">
        <v>-0.2100000000000577</v>
      </c>
      <c r="C480">
        <v>0.7899999999999423</v>
      </c>
      <c r="D480">
        <v>0.10500000000002885</v>
      </c>
      <c r="E480">
        <v>0</v>
      </c>
      <c r="F480" t="s">
        <v>100</v>
      </c>
      <c r="G480" t="s">
        <v>102</v>
      </c>
    </row>
    <row r="481" spans="1:7" x14ac:dyDescent="0.3">
      <c r="A481">
        <v>4.7999999999999421</v>
      </c>
      <c r="B481">
        <v>-0.20000000000005791</v>
      </c>
      <c r="C481">
        <v>0.79999999999994209</v>
      </c>
      <c r="D481">
        <v>0.10000000000002895</v>
      </c>
      <c r="E481">
        <v>0</v>
      </c>
      <c r="F481" t="s">
        <v>100</v>
      </c>
      <c r="G481" t="s">
        <v>102</v>
      </c>
    </row>
    <row r="482" spans="1:7" x14ac:dyDescent="0.3">
      <c r="A482">
        <v>4.8099999999999419</v>
      </c>
      <c r="B482">
        <v>-0.19000000000005812</v>
      </c>
      <c r="C482">
        <v>0.80999999999994188</v>
      </c>
      <c r="D482">
        <v>9.5000000000029061E-2</v>
      </c>
      <c r="E482">
        <v>0</v>
      </c>
      <c r="F482" t="s">
        <v>100</v>
      </c>
      <c r="G482" t="s">
        <v>102</v>
      </c>
    </row>
    <row r="483" spans="1:7" x14ac:dyDescent="0.3">
      <c r="A483">
        <v>4.8199999999999417</v>
      </c>
      <c r="B483">
        <v>-0.18000000000005834</v>
      </c>
      <c r="C483">
        <v>0.81999999999994166</v>
      </c>
      <c r="D483">
        <v>9.0000000000029168E-2</v>
      </c>
      <c r="E483">
        <v>0</v>
      </c>
      <c r="F483" t="s">
        <v>100</v>
      </c>
      <c r="G483" t="s">
        <v>102</v>
      </c>
    </row>
    <row r="484" spans="1:7" x14ac:dyDescent="0.3">
      <c r="A484">
        <v>4.8299999999999415</v>
      </c>
      <c r="B484">
        <v>-0.17000000000005855</v>
      </c>
      <c r="C484">
        <v>0.82999999999994145</v>
      </c>
      <c r="D484">
        <v>8.5000000000029274E-2</v>
      </c>
      <c r="E484">
        <v>0</v>
      </c>
      <c r="F484" t="s">
        <v>100</v>
      </c>
      <c r="G484" t="s">
        <v>102</v>
      </c>
    </row>
    <row r="485" spans="1:7" x14ac:dyDescent="0.3">
      <c r="A485">
        <v>4.8399999999999412</v>
      </c>
      <c r="B485">
        <v>-0.16000000000005876</v>
      </c>
      <c r="C485">
        <v>0.83999999999994124</v>
      </c>
      <c r="D485">
        <v>8.0000000000029381E-2</v>
      </c>
      <c r="E485">
        <v>0</v>
      </c>
      <c r="F485" t="s">
        <v>100</v>
      </c>
      <c r="G485" t="s">
        <v>102</v>
      </c>
    </row>
    <row r="486" spans="1:7" x14ac:dyDescent="0.3">
      <c r="A486">
        <v>4.849999999999941</v>
      </c>
      <c r="B486">
        <v>-0.15000000000005898</v>
      </c>
      <c r="C486">
        <v>0.84999999999994102</v>
      </c>
      <c r="D486">
        <v>7.5000000000029488E-2</v>
      </c>
      <c r="E486">
        <v>0</v>
      </c>
      <c r="F486" t="s">
        <v>100</v>
      </c>
      <c r="G486" t="s">
        <v>102</v>
      </c>
    </row>
    <row r="487" spans="1:7" x14ac:dyDescent="0.3">
      <c r="A487">
        <v>4.8599999999999408</v>
      </c>
      <c r="B487">
        <v>-0.14000000000005919</v>
      </c>
      <c r="C487">
        <v>0.85999999999994081</v>
      </c>
      <c r="D487">
        <v>7.0000000000029594E-2</v>
      </c>
      <c r="E487">
        <v>0</v>
      </c>
      <c r="F487" t="s">
        <v>100</v>
      </c>
      <c r="G487" t="s">
        <v>102</v>
      </c>
    </row>
    <row r="488" spans="1:7" x14ac:dyDescent="0.3">
      <c r="A488">
        <v>4.8699999999999406</v>
      </c>
      <c r="B488">
        <v>-0.1300000000000594</v>
      </c>
      <c r="C488">
        <v>0.8699999999999406</v>
      </c>
      <c r="D488">
        <v>6.5000000000029701E-2</v>
      </c>
      <c r="E488">
        <v>0</v>
      </c>
      <c r="F488" t="s">
        <v>100</v>
      </c>
      <c r="G488" t="s">
        <v>102</v>
      </c>
    </row>
    <row r="489" spans="1:7" x14ac:dyDescent="0.3">
      <c r="A489">
        <v>4.8799999999999404</v>
      </c>
      <c r="B489">
        <v>-0.12000000000005961</v>
      </c>
      <c r="C489">
        <v>0.87999999999994039</v>
      </c>
      <c r="D489">
        <v>6.0000000000029807E-2</v>
      </c>
      <c r="E489">
        <v>0</v>
      </c>
      <c r="F489" t="s">
        <v>100</v>
      </c>
      <c r="G489" t="s">
        <v>102</v>
      </c>
    </row>
    <row r="490" spans="1:7" x14ac:dyDescent="0.3">
      <c r="A490">
        <v>4.8899999999999402</v>
      </c>
      <c r="B490">
        <v>-0.11000000000005983</v>
      </c>
      <c r="C490">
        <v>0.88999999999994017</v>
      </c>
      <c r="D490">
        <v>5.5000000000029914E-2</v>
      </c>
      <c r="E490">
        <v>0</v>
      </c>
      <c r="F490" t="s">
        <v>100</v>
      </c>
      <c r="G490" t="s">
        <v>102</v>
      </c>
    </row>
    <row r="491" spans="1:7" x14ac:dyDescent="0.3">
      <c r="A491">
        <v>4.89999999999994</v>
      </c>
      <c r="B491">
        <v>-0.10000000000006004</v>
      </c>
      <c r="C491">
        <v>0.89999999999993996</v>
      </c>
      <c r="D491">
        <v>5.000000000003002E-2</v>
      </c>
      <c r="E491">
        <v>0</v>
      </c>
      <c r="F491" t="s">
        <v>100</v>
      </c>
      <c r="G491" t="s">
        <v>102</v>
      </c>
    </row>
    <row r="492" spans="1:7" x14ac:dyDescent="0.3">
      <c r="A492">
        <v>4.9099999999999397</v>
      </c>
      <c r="B492">
        <v>-9.0000000000060254E-2</v>
      </c>
      <c r="C492">
        <v>0.90999999999993975</v>
      </c>
      <c r="D492">
        <v>4.5000000000030127E-2</v>
      </c>
      <c r="E492">
        <v>0</v>
      </c>
      <c r="F492" t="s">
        <v>100</v>
      </c>
      <c r="G492" t="s">
        <v>102</v>
      </c>
    </row>
    <row r="493" spans="1:7" x14ac:dyDescent="0.3">
      <c r="A493">
        <v>4.9199999999999395</v>
      </c>
      <c r="B493">
        <v>-8.0000000000060467E-2</v>
      </c>
      <c r="C493">
        <v>0.91999999999993953</v>
      </c>
      <c r="D493">
        <v>4.0000000000030234E-2</v>
      </c>
      <c r="E493">
        <v>0</v>
      </c>
      <c r="F493" t="s">
        <v>100</v>
      </c>
      <c r="G493" t="s">
        <v>102</v>
      </c>
    </row>
    <row r="494" spans="1:7" x14ac:dyDescent="0.3">
      <c r="A494">
        <v>4.9299999999999393</v>
      </c>
      <c r="B494">
        <v>-7.000000000006068E-2</v>
      </c>
      <c r="C494">
        <v>0.92999999999993932</v>
      </c>
      <c r="D494">
        <v>3.500000000003034E-2</v>
      </c>
      <c r="E494">
        <v>0</v>
      </c>
      <c r="F494" t="s">
        <v>100</v>
      </c>
      <c r="G494" t="s">
        <v>102</v>
      </c>
    </row>
    <row r="495" spans="1:7" x14ac:dyDescent="0.3">
      <c r="A495">
        <v>4.9399999999999391</v>
      </c>
      <c r="B495">
        <v>-6.0000000000060894E-2</v>
      </c>
      <c r="C495">
        <v>0.93999999999993911</v>
      </c>
      <c r="D495">
        <v>3.0000000000030447E-2</v>
      </c>
      <c r="E495">
        <v>0</v>
      </c>
      <c r="F495" t="s">
        <v>100</v>
      </c>
      <c r="G495" t="s">
        <v>102</v>
      </c>
    </row>
    <row r="496" spans="1:7" x14ac:dyDescent="0.3">
      <c r="A496">
        <v>4.9499999999999389</v>
      </c>
      <c r="B496">
        <v>-5.0000000000061107E-2</v>
      </c>
      <c r="C496">
        <v>0.94999999999993889</v>
      </c>
      <c r="D496">
        <v>2.5000000000030553E-2</v>
      </c>
      <c r="E496">
        <v>0</v>
      </c>
      <c r="F496" t="s">
        <v>100</v>
      </c>
      <c r="G496" t="s">
        <v>102</v>
      </c>
    </row>
    <row r="497" spans="1:7" x14ac:dyDescent="0.3">
      <c r="A497">
        <v>4.9599999999999387</v>
      </c>
      <c r="B497">
        <v>-4.000000000006132E-2</v>
      </c>
      <c r="C497">
        <v>0.95999999999993868</v>
      </c>
      <c r="D497">
        <v>2.000000000003066E-2</v>
      </c>
      <c r="E497">
        <v>0</v>
      </c>
      <c r="F497" t="s">
        <v>100</v>
      </c>
      <c r="G497" t="s">
        <v>102</v>
      </c>
    </row>
    <row r="498" spans="1:7" x14ac:dyDescent="0.3">
      <c r="A498">
        <v>4.9699999999999385</v>
      </c>
      <c r="B498">
        <v>-3.0000000000061533E-2</v>
      </c>
      <c r="C498">
        <v>0.96999999999993847</v>
      </c>
      <c r="D498">
        <v>1.5000000000030767E-2</v>
      </c>
      <c r="E498">
        <v>0</v>
      </c>
      <c r="F498" t="s">
        <v>100</v>
      </c>
      <c r="G498" t="s">
        <v>102</v>
      </c>
    </row>
    <row r="499" spans="1:7" x14ac:dyDescent="0.3">
      <c r="A499">
        <v>4.9799999999999383</v>
      </c>
      <c r="B499">
        <v>-2.0000000000061746E-2</v>
      </c>
      <c r="C499">
        <v>0.97999999999993825</v>
      </c>
      <c r="D499">
        <v>1.0000000000030873E-2</v>
      </c>
      <c r="E499">
        <v>0</v>
      </c>
      <c r="F499" t="s">
        <v>100</v>
      </c>
      <c r="G499" t="s">
        <v>102</v>
      </c>
    </row>
    <row r="500" spans="1:7" x14ac:dyDescent="0.3">
      <c r="A500">
        <v>4.989999999999938</v>
      </c>
      <c r="B500">
        <v>-1.0000000000061959E-2</v>
      </c>
      <c r="C500">
        <v>0.98999999999993804</v>
      </c>
      <c r="D500">
        <v>5.0000000000309797E-3</v>
      </c>
      <c r="E500">
        <v>0</v>
      </c>
      <c r="F500" t="s">
        <v>100</v>
      </c>
      <c r="G500" t="s">
        <v>102</v>
      </c>
    </row>
    <row r="501" spans="1:7" x14ac:dyDescent="0.3">
      <c r="A501">
        <v>4.9999999999999378</v>
      </c>
      <c r="B501">
        <v>-6.2172489379008766E-14</v>
      </c>
      <c r="C501">
        <v>0.99999999999993783</v>
      </c>
      <c r="D501">
        <v>3.1086244689504383E-14</v>
      </c>
      <c r="E501">
        <v>0</v>
      </c>
      <c r="F501" t="s">
        <v>100</v>
      </c>
      <c r="G501" t="s">
        <v>102</v>
      </c>
    </row>
    <row r="502" spans="1:7" x14ac:dyDescent="0.3">
      <c r="A502">
        <v>5.0099999999999376</v>
      </c>
      <c r="B502">
        <v>9.9999999999376143E-3</v>
      </c>
      <c r="C502">
        <v>0.99000000000006239</v>
      </c>
      <c r="D502">
        <v>3.1086244689504383E-14</v>
      </c>
      <c r="E502">
        <v>0</v>
      </c>
      <c r="F502" t="s">
        <v>101</v>
      </c>
      <c r="G502" t="s">
        <v>102</v>
      </c>
    </row>
    <row r="503" spans="1:7" x14ac:dyDescent="0.3">
      <c r="A503">
        <v>5.0199999999999374</v>
      </c>
      <c r="B503">
        <v>1.9999999999937401E-2</v>
      </c>
      <c r="C503">
        <v>0.9800000000000626</v>
      </c>
      <c r="D503">
        <v>3.1086244689504383E-14</v>
      </c>
      <c r="E503">
        <v>0</v>
      </c>
      <c r="F503" t="s">
        <v>101</v>
      </c>
      <c r="G503" t="s">
        <v>102</v>
      </c>
    </row>
    <row r="504" spans="1:7" x14ac:dyDescent="0.3">
      <c r="A504">
        <v>5.0299999999999372</v>
      </c>
      <c r="B504">
        <v>2.9999999999937188E-2</v>
      </c>
      <c r="C504">
        <v>0.97000000000006281</v>
      </c>
      <c r="D504">
        <v>3.1086244689504383E-14</v>
      </c>
      <c r="E504">
        <v>0</v>
      </c>
      <c r="F504" t="s">
        <v>101</v>
      </c>
      <c r="G504" t="s">
        <v>102</v>
      </c>
    </row>
    <row r="505" spans="1:7" x14ac:dyDescent="0.3">
      <c r="A505">
        <v>5.039999999999937</v>
      </c>
      <c r="B505">
        <v>3.9999999999936975E-2</v>
      </c>
      <c r="C505">
        <v>0.96000000000006303</v>
      </c>
      <c r="D505">
        <v>3.1086244689504383E-14</v>
      </c>
      <c r="E505">
        <v>0</v>
      </c>
      <c r="F505" t="s">
        <v>101</v>
      </c>
      <c r="G505" t="s">
        <v>102</v>
      </c>
    </row>
    <row r="506" spans="1:7" x14ac:dyDescent="0.3">
      <c r="A506">
        <v>5.0499999999999368</v>
      </c>
      <c r="B506">
        <v>4.9999999999936762E-2</v>
      </c>
      <c r="C506">
        <v>0.95000000000006324</v>
      </c>
      <c r="D506">
        <v>3.1086244689504383E-14</v>
      </c>
      <c r="E506">
        <v>0</v>
      </c>
      <c r="F506" t="s">
        <v>101</v>
      </c>
      <c r="G506" t="s">
        <v>102</v>
      </c>
    </row>
    <row r="507" spans="1:7" x14ac:dyDescent="0.3">
      <c r="A507">
        <v>5.0599999999999365</v>
      </c>
      <c r="B507">
        <v>5.9999999999936549E-2</v>
      </c>
      <c r="C507">
        <v>0.94000000000006345</v>
      </c>
      <c r="D507">
        <v>3.1086244689504383E-14</v>
      </c>
      <c r="E507">
        <v>0</v>
      </c>
      <c r="F507" t="s">
        <v>101</v>
      </c>
      <c r="G507" t="s">
        <v>102</v>
      </c>
    </row>
    <row r="508" spans="1:7" x14ac:dyDescent="0.3">
      <c r="A508">
        <v>5.0699999999999363</v>
      </c>
      <c r="B508">
        <v>6.9999999999936335E-2</v>
      </c>
      <c r="C508">
        <v>0.93000000000006366</v>
      </c>
      <c r="D508">
        <v>3.1086244689504383E-14</v>
      </c>
      <c r="E508">
        <v>0</v>
      </c>
      <c r="F508" t="s">
        <v>101</v>
      </c>
      <c r="G508" t="s">
        <v>102</v>
      </c>
    </row>
    <row r="509" spans="1:7" x14ac:dyDescent="0.3">
      <c r="A509">
        <v>5.0799999999999361</v>
      </c>
      <c r="B509">
        <v>7.9999999999936122E-2</v>
      </c>
      <c r="C509">
        <v>0.92000000000006388</v>
      </c>
      <c r="D509">
        <v>3.1086244689504383E-14</v>
      </c>
      <c r="E509">
        <v>0</v>
      </c>
      <c r="F509" t="s">
        <v>101</v>
      </c>
      <c r="G509" t="s">
        <v>102</v>
      </c>
    </row>
    <row r="510" spans="1:7" x14ac:dyDescent="0.3">
      <c r="A510">
        <v>5.0899999999999359</v>
      </c>
      <c r="B510">
        <v>8.9999999999935909E-2</v>
      </c>
      <c r="C510">
        <v>0.91000000000006409</v>
      </c>
      <c r="D510">
        <v>3.1086244689504383E-14</v>
      </c>
      <c r="E510">
        <v>0</v>
      </c>
      <c r="F510" t="s">
        <v>101</v>
      </c>
      <c r="G510" t="s">
        <v>102</v>
      </c>
    </row>
    <row r="511" spans="1:7" x14ac:dyDescent="0.3">
      <c r="A511">
        <v>5.0999999999999357</v>
      </c>
      <c r="B511">
        <v>9.9999999999935696E-2</v>
      </c>
      <c r="C511">
        <v>0.9000000000000643</v>
      </c>
      <c r="D511">
        <v>3.1086244689504383E-14</v>
      </c>
      <c r="E511">
        <v>0</v>
      </c>
      <c r="F511" t="s">
        <v>101</v>
      </c>
      <c r="G511" t="s">
        <v>102</v>
      </c>
    </row>
    <row r="512" spans="1:7" x14ac:dyDescent="0.3">
      <c r="A512">
        <v>5.1099999999999355</v>
      </c>
      <c r="B512">
        <v>0.10999999999993548</v>
      </c>
      <c r="C512">
        <v>0.89000000000006452</v>
      </c>
      <c r="D512">
        <v>3.1086244689504383E-14</v>
      </c>
      <c r="E512">
        <v>0</v>
      </c>
      <c r="F512" t="s">
        <v>101</v>
      </c>
      <c r="G512" t="s">
        <v>102</v>
      </c>
    </row>
    <row r="513" spans="1:7" x14ac:dyDescent="0.3">
      <c r="A513">
        <v>5.1199999999999353</v>
      </c>
      <c r="B513">
        <v>0.11999999999993527</v>
      </c>
      <c r="C513">
        <v>0.88000000000006473</v>
      </c>
      <c r="D513">
        <v>3.1086244689504383E-14</v>
      </c>
      <c r="E513">
        <v>0</v>
      </c>
      <c r="F513" t="s">
        <v>101</v>
      </c>
      <c r="G513" t="s">
        <v>102</v>
      </c>
    </row>
    <row r="514" spans="1:7" x14ac:dyDescent="0.3">
      <c r="A514">
        <v>5.1299999999999351</v>
      </c>
      <c r="B514">
        <v>0.12999999999993506</v>
      </c>
      <c r="C514">
        <v>0.87000000000006494</v>
      </c>
      <c r="D514">
        <v>3.1086244689504383E-14</v>
      </c>
      <c r="E514">
        <v>0</v>
      </c>
      <c r="F514" t="s">
        <v>101</v>
      </c>
      <c r="G514" t="s">
        <v>102</v>
      </c>
    </row>
    <row r="515" spans="1:7" x14ac:dyDescent="0.3">
      <c r="A515">
        <v>5.1399999999999348</v>
      </c>
      <c r="B515">
        <v>0.13999999999993484</v>
      </c>
      <c r="C515">
        <v>0.86000000000006516</v>
      </c>
      <c r="D515">
        <v>3.1086244689504383E-14</v>
      </c>
      <c r="E515">
        <v>0</v>
      </c>
      <c r="F515" t="s">
        <v>101</v>
      </c>
      <c r="G515" t="s">
        <v>102</v>
      </c>
    </row>
    <row r="516" spans="1:7" x14ac:dyDescent="0.3">
      <c r="A516">
        <v>5.1499999999999346</v>
      </c>
      <c r="B516">
        <v>0.14999999999993463</v>
      </c>
      <c r="C516">
        <v>0.85000000000006537</v>
      </c>
      <c r="D516">
        <v>3.1086244689504383E-14</v>
      </c>
      <c r="E516">
        <v>0</v>
      </c>
      <c r="F516" t="s">
        <v>101</v>
      </c>
      <c r="G516" t="s">
        <v>102</v>
      </c>
    </row>
    <row r="517" spans="1:7" x14ac:dyDescent="0.3">
      <c r="A517">
        <v>5.1599999999999344</v>
      </c>
      <c r="B517">
        <v>0.15999999999993442</v>
      </c>
      <c r="C517">
        <v>0.84000000000006558</v>
      </c>
      <c r="D517">
        <v>3.1086244689504383E-14</v>
      </c>
      <c r="E517">
        <v>0</v>
      </c>
      <c r="F517" t="s">
        <v>101</v>
      </c>
      <c r="G517" t="s">
        <v>102</v>
      </c>
    </row>
    <row r="518" spans="1:7" x14ac:dyDescent="0.3">
      <c r="A518">
        <v>5.1699999999999342</v>
      </c>
      <c r="B518">
        <v>0.1699999999999342</v>
      </c>
      <c r="C518">
        <v>0.8300000000000658</v>
      </c>
      <c r="D518">
        <v>3.1086244689504383E-14</v>
      </c>
      <c r="E518">
        <v>0</v>
      </c>
      <c r="F518" t="s">
        <v>101</v>
      </c>
      <c r="G518" t="s">
        <v>102</v>
      </c>
    </row>
    <row r="519" spans="1:7" x14ac:dyDescent="0.3">
      <c r="A519">
        <v>5.179999999999934</v>
      </c>
      <c r="B519">
        <v>0.17999999999993399</v>
      </c>
      <c r="C519">
        <v>0.82000000000006601</v>
      </c>
      <c r="D519">
        <v>3.1086244689504383E-14</v>
      </c>
      <c r="E519">
        <v>0</v>
      </c>
      <c r="F519" t="s">
        <v>101</v>
      </c>
      <c r="G519" t="s">
        <v>102</v>
      </c>
    </row>
    <row r="520" spans="1:7" x14ac:dyDescent="0.3">
      <c r="A520">
        <v>5.1899999999999338</v>
      </c>
      <c r="B520">
        <v>0.18999999999993378</v>
      </c>
      <c r="C520">
        <v>0.81000000000006622</v>
      </c>
      <c r="D520">
        <v>3.1086244689504383E-14</v>
      </c>
      <c r="E520">
        <v>0</v>
      </c>
      <c r="F520" t="s">
        <v>101</v>
      </c>
      <c r="G520" t="s">
        <v>102</v>
      </c>
    </row>
    <row r="521" spans="1:7" x14ac:dyDescent="0.3">
      <c r="A521">
        <v>5.1999999999999336</v>
      </c>
      <c r="B521">
        <v>0.19999999999993356</v>
      </c>
      <c r="C521">
        <v>0.80000000000006644</v>
      </c>
      <c r="D521">
        <v>3.1086244689504383E-14</v>
      </c>
      <c r="E521">
        <v>0</v>
      </c>
      <c r="F521" t="s">
        <v>101</v>
      </c>
      <c r="G521" t="s">
        <v>102</v>
      </c>
    </row>
    <row r="522" spans="1:7" x14ac:dyDescent="0.3">
      <c r="A522">
        <v>5.2099999999999334</v>
      </c>
      <c r="B522">
        <v>0.20999999999993335</v>
      </c>
      <c r="C522">
        <v>0.79000000000006665</v>
      </c>
      <c r="D522">
        <v>3.1086244689504383E-14</v>
      </c>
      <c r="E522">
        <v>0</v>
      </c>
      <c r="F522" t="s">
        <v>101</v>
      </c>
      <c r="G522" t="s">
        <v>102</v>
      </c>
    </row>
    <row r="523" spans="1:7" x14ac:dyDescent="0.3">
      <c r="A523">
        <v>5.2199999999999331</v>
      </c>
      <c r="B523">
        <v>0.21999999999993314</v>
      </c>
      <c r="C523">
        <v>0.78000000000006686</v>
      </c>
      <c r="D523">
        <v>3.1086244689504383E-14</v>
      </c>
      <c r="E523">
        <v>0</v>
      </c>
      <c r="F523" t="s">
        <v>101</v>
      </c>
      <c r="G523" t="s">
        <v>102</v>
      </c>
    </row>
    <row r="524" spans="1:7" x14ac:dyDescent="0.3">
      <c r="A524">
        <v>5.2299999999999329</v>
      </c>
      <c r="B524">
        <v>0.22999999999993292</v>
      </c>
      <c r="C524">
        <v>0.77000000000006708</v>
      </c>
      <c r="D524">
        <v>3.1086244689504383E-14</v>
      </c>
      <c r="E524">
        <v>0</v>
      </c>
      <c r="F524" t="s">
        <v>101</v>
      </c>
      <c r="G524" t="s">
        <v>102</v>
      </c>
    </row>
    <row r="525" spans="1:7" x14ac:dyDescent="0.3">
      <c r="A525">
        <v>5.2399999999999327</v>
      </c>
      <c r="B525">
        <v>0.23999999999993271</v>
      </c>
      <c r="C525">
        <v>0.76000000000006729</v>
      </c>
      <c r="D525">
        <v>3.1086244689504383E-14</v>
      </c>
      <c r="E525">
        <v>0</v>
      </c>
      <c r="F525" t="s">
        <v>101</v>
      </c>
      <c r="G525" t="s">
        <v>102</v>
      </c>
    </row>
    <row r="526" spans="1:7" x14ac:dyDescent="0.3">
      <c r="A526">
        <v>5.2499999999999325</v>
      </c>
      <c r="B526">
        <v>0.2499999999999325</v>
      </c>
      <c r="C526">
        <v>0.7500000000000675</v>
      </c>
      <c r="D526">
        <v>3.1086244689504383E-14</v>
      </c>
      <c r="E526">
        <v>0</v>
      </c>
      <c r="F526" t="s">
        <v>101</v>
      </c>
      <c r="G526" t="s">
        <v>102</v>
      </c>
    </row>
    <row r="527" spans="1:7" x14ac:dyDescent="0.3">
      <c r="A527">
        <v>5.2599999999999323</v>
      </c>
      <c r="B527">
        <v>0.25999999999993229</v>
      </c>
      <c r="C527">
        <v>0.74000000000006771</v>
      </c>
      <c r="D527">
        <v>3.1086244689504383E-14</v>
      </c>
      <c r="E527">
        <v>0</v>
      </c>
      <c r="F527" t="s">
        <v>101</v>
      </c>
      <c r="G527" t="s">
        <v>102</v>
      </c>
    </row>
    <row r="528" spans="1:7" x14ac:dyDescent="0.3">
      <c r="A528">
        <v>5.2699999999999321</v>
      </c>
      <c r="B528">
        <v>0.26999999999993207</v>
      </c>
      <c r="C528">
        <v>0.73000000000006793</v>
      </c>
      <c r="D528">
        <v>3.1086244689504383E-14</v>
      </c>
      <c r="E528">
        <v>0</v>
      </c>
      <c r="F528" t="s">
        <v>101</v>
      </c>
      <c r="G528" t="s">
        <v>102</v>
      </c>
    </row>
    <row r="529" spans="1:7" x14ac:dyDescent="0.3">
      <c r="A529">
        <v>5.2799999999999319</v>
      </c>
      <c r="B529">
        <v>0.27999999999993186</v>
      </c>
      <c r="C529">
        <v>0.72000000000006814</v>
      </c>
      <c r="D529">
        <v>3.1086244689504383E-14</v>
      </c>
      <c r="E529">
        <v>0</v>
      </c>
      <c r="F529" t="s">
        <v>101</v>
      </c>
      <c r="G529" t="s">
        <v>102</v>
      </c>
    </row>
    <row r="530" spans="1:7" x14ac:dyDescent="0.3">
      <c r="A530">
        <v>5.2899999999999316</v>
      </c>
      <c r="B530">
        <v>0.28999999999993165</v>
      </c>
      <c r="C530">
        <v>0.71000000000006835</v>
      </c>
      <c r="D530">
        <v>3.1086244689504383E-14</v>
      </c>
      <c r="E530">
        <v>0</v>
      </c>
      <c r="F530" t="s">
        <v>101</v>
      </c>
      <c r="G530" t="s">
        <v>102</v>
      </c>
    </row>
    <row r="531" spans="1:7" x14ac:dyDescent="0.3">
      <c r="A531">
        <v>5.2999999999999314</v>
      </c>
      <c r="B531">
        <v>0.29999999999993143</v>
      </c>
      <c r="C531">
        <v>0.70000000000006857</v>
      </c>
      <c r="D531">
        <v>3.1086244689504383E-14</v>
      </c>
      <c r="E531">
        <v>0</v>
      </c>
      <c r="F531" t="s">
        <v>101</v>
      </c>
      <c r="G531" t="s">
        <v>102</v>
      </c>
    </row>
    <row r="532" spans="1:7" x14ac:dyDescent="0.3">
      <c r="A532">
        <v>5.3099999999999312</v>
      </c>
      <c r="B532">
        <v>0.30999999999993122</v>
      </c>
      <c r="C532">
        <v>0.69000000000006878</v>
      </c>
      <c r="D532">
        <v>3.1086244689504383E-14</v>
      </c>
      <c r="E532">
        <v>0</v>
      </c>
      <c r="F532" t="s">
        <v>101</v>
      </c>
      <c r="G532" t="s">
        <v>102</v>
      </c>
    </row>
    <row r="533" spans="1:7" x14ac:dyDescent="0.3">
      <c r="A533">
        <v>5.319999999999931</v>
      </c>
      <c r="B533">
        <v>0.31999999999993101</v>
      </c>
      <c r="C533">
        <v>0.68000000000006899</v>
      </c>
      <c r="D533">
        <v>3.1086244689504383E-14</v>
      </c>
      <c r="E533">
        <v>0</v>
      </c>
      <c r="F533" t="s">
        <v>101</v>
      </c>
      <c r="G533" t="s">
        <v>102</v>
      </c>
    </row>
    <row r="534" spans="1:7" x14ac:dyDescent="0.3">
      <c r="A534">
        <v>5.3299999999999308</v>
      </c>
      <c r="B534">
        <v>0.32999999999993079</v>
      </c>
      <c r="C534">
        <v>0.67000000000006921</v>
      </c>
      <c r="D534">
        <v>3.1086244689504383E-14</v>
      </c>
      <c r="E534">
        <v>0</v>
      </c>
      <c r="F534" t="s">
        <v>101</v>
      </c>
      <c r="G534" t="s">
        <v>102</v>
      </c>
    </row>
    <row r="535" spans="1:7" x14ac:dyDescent="0.3">
      <c r="A535">
        <v>5.3399999999999306</v>
      </c>
      <c r="B535">
        <v>0.33999999999993058</v>
      </c>
      <c r="C535">
        <v>0.66000000000006942</v>
      </c>
      <c r="D535">
        <v>3.1086244689504383E-14</v>
      </c>
      <c r="E535">
        <v>0</v>
      </c>
      <c r="F535" t="s">
        <v>101</v>
      </c>
      <c r="G535" t="s">
        <v>102</v>
      </c>
    </row>
    <row r="536" spans="1:7" x14ac:dyDescent="0.3">
      <c r="A536">
        <v>5.3499999999999304</v>
      </c>
      <c r="B536">
        <v>0.34999999999993037</v>
      </c>
      <c r="C536">
        <v>0.65000000000006963</v>
      </c>
      <c r="D536">
        <v>3.1086244689504383E-14</v>
      </c>
      <c r="E536">
        <v>0</v>
      </c>
      <c r="F536" t="s">
        <v>101</v>
      </c>
      <c r="G536" t="s">
        <v>102</v>
      </c>
    </row>
    <row r="537" spans="1:7" x14ac:dyDescent="0.3">
      <c r="A537">
        <v>5.3599999999999302</v>
      </c>
      <c r="B537">
        <v>0.35999999999993015</v>
      </c>
      <c r="C537">
        <v>0.64000000000006985</v>
      </c>
      <c r="D537">
        <v>3.1086244689504383E-14</v>
      </c>
      <c r="E537">
        <v>0</v>
      </c>
      <c r="F537" t="s">
        <v>101</v>
      </c>
      <c r="G537" t="s">
        <v>102</v>
      </c>
    </row>
    <row r="538" spans="1:7" x14ac:dyDescent="0.3">
      <c r="A538">
        <v>5.3699999999999299</v>
      </c>
      <c r="B538">
        <v>0.36999999999992994</v>
      </c>
      <c r="C538">
        <v>0.63000000000007006</v>
      </c>
      <c r="D538">
        <v>3.1086244689504383E-14</v>
      </c>
      <c r="E538">
        <v>0</v>
      </c>
      <c r="F538" t="s">
        <v>101</v>
      </c>
      <c r="G538" t="s">
        <v>102</v>
      </c>
    </row>
    <row r="539" spans="1:7" x14ac:dyDescent="0.3">
      <c r="A539">
        <v>5.3799999999999297</v>
      </c>
      <c r="B539">
        <v>0.37999999999992973</v>
      </c>
      <c r="C539">
        <v>0.62000000000007027</v>
      </c>
      <c r="D539">
        <v>3.1086244689504383E-14</v>
      </c>
      <c r="E539">
        <v>0</v>
      </c>
      <c r="F539" t="s">
        <v>101</v>
      </c>
      <c r="G539" t="s">
        <v>102</v>
      </c>
    </row>
    <row r="540" spans="1:7" x14ac:dyDescent="0.3">
      <c r="A540">
        <v>5.3899999999999295</v>
      </c>
      <c r="B540">
        <v>0.38999999999992951</v>
      </c>
      <c r="C540">
        <v>0.61000000000007049</v>
      </c>
      <c r="D540">
        <v>3.1086244689504383E-14</v>
      </c>
      <c r="E540">
        <v>0</v>
      </c>
      <c r="F540" t="s">
        <v>101</v>
      </c>
      <c r="G540" t="s">
        <v>102</v>
      </c>
    </row>
    <row r="541" spans="1:7" x14ac:dyDescent="0.3">
      <c r="A541">
        <v>5.3999999999999293</v>
      </c>
      <c r="B541">
        <v>0.3999999999999293</v>
      </c>
      <c r="C541">
        <v>0.6000000000000707</v>
      </c>
      <c r="D541">
        <v>3.1086244689504383E-14</v>
      </c>
      <c r="E541">
        <v>0</v>
      </c>
      <c r="F541" t="s">
        <v>101</v>
      </c>
      <c r="G541" t="s">
        <v>102</v>
      </c>
    </row>
    <row r="542" spans="1:7" x14ac:dyDescent="0.3">
      <c r="A542">
        <v>5.4099999999999291</v>
      </c>
      <c r="B542">
        <v>0.40999999999992909</v>
      </c>
      <c r="C542">
        <v>0.59000000000007091</v>
      </c>
      <c r="D542">
        <v>3.1086244689504383E-14</v>
      </c>
      <c r="E542">
        <v>0</v>
      </c>
      <c r="F542" t="s">
        <v>101</v>
      </c>
      <c r="G542" t="s">
        <v>102</v>
      </c>
    </row>
    <row r="543" spans="1:7" x14ac:dyDescent="0.3">
      <c r="A543">
        <v>5.4199999999999289</v>
      </c>
      <c r="B543">
        <v>0.41999999999992887</v>
      </c>
      <c r="C543">
        <v>0.58000000000007113</v>
      </c>
      <c r="D543">
        <v>3.1086244689504383E-14</v>
      </c>
      <c r="E543">
        <v>0</v>
      </c>
      <c r="F543" t="s">
        <v>101</v>
      </c>
      <c r="G543" t="s">
        <v>102</v>
      </c>
    </row>
    <row r="544" spans="1:7" x14ac:dyDescent="0.3">
      <c r="A544">
        <v>5.4299999999999287</v>
      </c>
      <c r="B544">
        <v>0.42999999999992866</v>
      </c>
      <c r="C544">
        <v>0.57000000000007134</v>
      </c>
      <c r="D544">
        <v>3.1086244689504383E-14</v>
      </c>
      <c r="E544">
        <v>0</v>
      </c>
      <c r="F544" t="s">
        <v>101</v>
      </c>
      <c r="G544" t="s">
        <v>102</v>
      </c>
    </row>
    <row r="545" spans="1:7" x14ac:dyDescent="0.3">
      <c r="A545">
        <v>5.4399999999999284</v>
      </c>
      <c r="B545">
        <v>0.43999999999992845</v>
      </c>
      <c r="C545">
        <v>0.56000000000007155</v>
      </c>
      <c r="D545">
        <v>3.1086244689504383E-14</v>
      </c>
      <c r="E545">
        <v>0</v>
      </c>
      <c r="F545" t="s">
        <v>101</v>
      </c>
      <c r="G545" t="s">
        <v>102</v>
      </c>
    </row>
    <row r="546" spans="1:7" x14ac:dyDescent="0.3">
      <c r="A546">
        <v>5.4499999999999282</v>
      </c>
      <c r="B546">
        <v>0.44999999999992824</v>
      </c>
      <c r="C546">
        <v>0.55000000000007176</v>
      </c>
      <c r="D546">
        <v>3.1086244689504383E-14</v>
      </c>
      <c r="E546">
        <v>0</v>
      </c>
      <c r="F546" t="s">
        <v>101</v>
      </c>
      <c r="G546" t="s">
        <v>102</v>
      </c>
    </row>
    <row r="547" spans="1:7" x14ac:dyDescent="0.3">
      <c r="A547">
        <v>5.459999999999928</v>
      </c>
      <c r="B547">
        <v>0.45999999999992802</v>
      </c>
      <c r="C547">
        <v>0.54000000000007198</v>
      </c>
      <c r="D547">
        <v>3.1086244689504383E-14</v>
      </c>
      <c r="E547">
        <v>0</v>
      </c>
      <c r="F547" t="s">
        <v>101</v>
      </c>
      <c r="G547" t="s">
        <v>102</v>
      </c>
    </row>
    <row r="548" spans="1:7" x14ac:dyDescent="0.3">
      <c r="A548">
        <v>5.4699999999999278</v>
      </c>
      <c r="B548">
        <v>0.46999999999992781</v>
      </c>
      <c r="C548">
        <v>0.53000000000007219</v>
      </c>
      <c r="D548">
        <v>3.1086244689504383E-14</v>
      </c>
      <c r="E548">
        <v>0</v>
      </c>
      <c r="F548" t="s">
        <v>101</v>
      </c>
      <c r="G548" t="s">
        <v>102</v>
      </c>
    </row>
    <row r="549" spans="1:7" x14ac:dyDescent="0.3">
      <c r="A549">
        <v>5.4799999999999276</v>
      </c>
      <c r="B549">
        <v>0.4799999999999276</v>
      </c>
      <c r="C549">
        <v>0.5200000000000724</v>
      </c>
      <c r="D549">
        <v>3.1086244689504383E-14</v>
      </c>
      <c r="E549">
        <v>0</v>
      </c>
      <c r="F549" t="s">
        <v>101</v>
      </c>
      <c r="G549" t="s">
        <v>102</v>
      </c>
    </row>
    <row r="550" spans="1:7" x14ac:dyDescent="0.3">
      <c r="A550">
        <v>5.4899999999999274</v>
      </c>
      <c r="B550">
        <v>0.48999999999992738</v>
      </c>
      <c r="C550">
        <v>0.51000000000007262</v>
      </c>
      <c r="D550">
        <v>3.1086244689504383E-14</v>
      </c>
      <c r="E550">
        <v>0</v>
      </c>
      <c r="F550" t="s">
        <v>101</v>
      </c>
      <c r="G550" t="s">
        <v>102</v>
      </c>
    </row>
    <row r="551" spans="1:7" x14ac:dyDescent="0.3">
      <c r="A551">
        <v>5.4999999999999272</v>
      </c>
      <c r="B551">
        <v>0.49999999999992717</v>
      </c>
      <c r="C551">
        <v>0.50000000000007283</v>
      </c>
      <c r="D551">
        <v>3.1086244689504383E-14</v>
      </c>
      <c r="E551">
        <v>0</v>
      </c>
      <c r="F551" t="s">
        <v>101</v>
      </c>
      <c r="G551" t="s">
        <v>102</v>
      </c>
    </row>
    <row r="552" spans="1:7" x14ac:dyDescent="0.3">
      <c r="A552">
        <v>5.509999999999927</v>
      </c>
      <c r="B552">
        <v>0.50999999999992696</v>
      </c>
      <c r="C552">
        <v>0.49000000000007304</v>
      </c>
      <c r="D552">
        <v>3.1086244689504383E-14</v>
      </c>
      <c r="E552">
        <v>0</v>
      </c>
      <c r="F552" t="s">
        <v>101</v>
      </c>
      <c r="G552" t="s">
        <v>102</v>
      </c>
    </row>
    <row r="553" spans="1:7" x14ac:dyDescent="0.3">
      <c r="A553">
        <v>5.5199999999999267</v>
      </c>
      <c r="B553">
        <v>0.51999999999992674</v>
      </c>
      <c r="C553">
        <v>0.48000000000007326</v>
      </c>
      <c r="D553">
        <v>3.1086244689504383E-14</v>
      </c>
      <c r="E553">
        <v>0</v>
      </c>
      <c r="F553" t="s">
        <v>101</v>
      </c>
      <c r="G553" t="s">
        <v>102</v>
      </c>
    </row>
    <row r="554" spans="1:7" x14ac:dyDescent="0.3">
      <c r="A554">
        <v>5.5299999999999265</v>
      </c>
      <c r="B554">
        <v>0.52999999999992653</v>
      </c>
      <c r="C554">
        <v>0.47000000000007347</v>
      </c>
      <c r="D554">
        <v>3.1086244689504383E-14</v>
      </c>
      <c r="E554">
        <v>0</v>
      </c>
      <c r="F554" t="s">
        <v>101</v>
      </c>
      <c r="G554" t="s">
        <v>102</v>
      </c>
    </row>
    <row r="555" spans="1:7" x14ac:dyDescent="0.3">
      <c r="A555">
        <v>5.5399999999999263</v>
      </c>
      <c r="B555">
        <v>0.53999999999992632</v>
      </c>
      <c r="C555">
        <v>0.46000000000007368</v>
      </c>
      <c r="D555">
        <v>3.1086244689504383E-14</v>
      </c>
      <c r="E555">
        <v>0</v>
      </c>
      <c r="F555" t="s">
        <v>101</v>
      </c>
      <c r="G555" t="s">
        <v>102</v>
      </c>
    </row>
    <row r="556" spans="1:7" x14ac:dyDescent="0.3">
      <c r="A556">
        <v>5.5499999999999261</v>
      </c>
      <c r="B556">
        <v>0.5499999999999261</v>
      </c>
      <c r="C556">
        <v>0.4500000000000739</v>
      </c>
      <c r="D556">
        <v>3.1086244689504383E-14</v>
      </c>
      <c r="E556">
        <v>0</v>
      </c>
      <c r="F556" t="s">
        <v>101</v>
      </c>
      <c r="G556" t="s">
        <v>102</v>
      </c>
    </row>
    <row r="557" spans="1:7" x14ac:dyDescent="0.3">
      <c r="A557">
        <v>5.5599999999999259</v>
      </c>
      <c r="B557">
        <v>0.55999999999992589</v>
      </c>
      <c r="C557">
        <v>0.44000000000007411</v>
      </c>
      <c r="D557">
        <v>3.1086244689504383E-14</v>
      </c>
      <c r="E557">
        <v>0</v>
      </c>
      <c r="F557" t="s">
        <v>101</v>
      </c>
      <c r="G557" t="s">
        <v>102</v>
      </c>
    </row>
    <row r="558" spans="1:7" x14ac:dyDescent="0.3">
      <c r="A558">
        <v>5.5699999999999257</v>
      </c>
      <c r="B558">
        <v>0.56999999999992568</v>
      </c>
      <c r="C558">
        <v>0.43000000000007432</v>
      </c>
      <c r="D558">
        <v>3.1086244689504383E-14</v>
      </c>
      <c r="E558">
        <v>0</v>
      </c>
      <c r="F558" t="s">
        <v>101</v>
      </c>
      <c r="G558" t="s">
        <v>102</v>
      </c>
    </row>
    <row r="559" spans="1:7" x14ac:dyDescent="0.3">
      <c r="A559">
        <v>5.5799999999999255</v>
      </c>
      <c r="B559">
        <v>0.57999999999992546</v>
      </c>
      <c r="C559">
        <v>0.42000000000007454</v>
      </c>
      <c r="D559">
        <v>3.1086244689504383E-14</v>
      </c>
      <c r="E559">
        <v>0</v>
      </c>
      <c r="F559" t="s">
        <v>101</v>
      </c>
      <c r="G559" t="s">
        <v>102</v>
      </c>
    </row>
    <row r="560" spans="1:7" x14ac:dyDescent="0.3">
      <c r="A560">
        <v>5.5899999999999253</v>
      </c>
      <c r="B560">
        <v>0.58999999999992525</v>
      </c>
      <c r="C560">
        <v>0.41000000000007475</v>
      </c>
      <c r="D560">
        <v>3.1086244689504383E-14</v>
      </c>
      <c r="E560">
        <v>0</v>
      </c>
      <c r="F560" t="s">
        <v>101</v>
      </c>
      <c r="G560" t="s">
        <v>102</v>
      </c>
    </row>
    <row r="561" spans="1:7" x14ac:dyDescent="0.3">
      <c r="A561">
        <v>5.599999999999925</v>
      </c>
      <c r="B561">
        <v>0.59999999999992504</v>
      </c>
      <c r="C561">
        <v>0.40000000000007496</v>
      </c>
      <c r="D561">
        <v>3.1086244689504383E-14</v>
      </c>
      <c r="E561">
        <v>0</v>
      </c>
      <c r="F561" t="s">
        <v>101</v>
      </c>
      <c r="G561" t="s">
        <v>102</v>
      </c>
    </row>
    <row r="562" spans="1:7" x14ac:dyDescent="0.3">
      <c r="A562">
        <v>5.6099999999999248</v>
      </c>
      <c r="B562">
        <v>0.60999999999992482</v>
      </c>
      <c r="C562">
        <v>0.39000000000007518</v>
      </c>
      <c r="D562">
        <v>3.1086244689504383E-14</v>
      </c>
      <c r="E562">
        <v>0</v>
      </c>
      <c r="F562" t="s">
        <v>101</v>
      </c>
      <c r="G562" t="s">
        <v>102</v>
      </c>
    </row>
    <row r="563" spans="1:7" x14ac:dyDescent="0.3">
      <c r="A563">
        <v>5.6199999999999246</v>
      </c>
      <c r="B563">
        <v>0.61999999999992461</v>
      </c>
      <c r="C563">
        <v>0.38000000000007539</v>
      </c>
      <c r="D563">
        <v>3.1086244689504383E-14</v>
      </c>
      <c r="E563">
        <v>0</v>
      </c>
      <c r="F563" t="s">
        <v>101</v>
      </c>
      <c r="G563" t="s">
        <v>102</v>
      </c>
    </row>
    <row r="564" spans="1:7" x14ac:dyDescent="0.3">
      <c r="A564">
        <v>5.6299999999999244</v>
      </c>
      <c r="B564">
        <v>0.6299999999999244</v>
      </c>
      <c r="C564">
        <v>0.3700000000000756</v>
      </c>
      <c r="D564">
        <v>3.1086244689504383E-14</v>
      </c>
      <c r="E564">
        <v>0</v>
      </c>
      <c r="F564" t="s">
        <v>101</v>
      </c>
      <c r="G564" t="s">
        <v>102</v>
      </c>
    </row>
    <row r="565" spans="1:7" x14ac:dyDescent="0.3">
      <c r="A565">
        <v>5.6399999999999242</v>
      </c>
      <c r="B565">
        <v>0.63999999999992419</v>
      </c>
      <c r="C565">
        <v>0.36000000000007581</v>
      </c>
      <c r="D565">
        <v>3.1086244689504383E-14</v>
      </c>
      <c r="E565">
        <v>0</v>
      </c>
      <c r="F565" t="s">
        <v>101</v>
      </c>
      <c r="G565" t="s">
        <v>102</v>
      </c>
    </row>
    <row r="566" spans="1:7" x14ac:dyDescent="0.3">
      <c r="A566">
        <v>5.649999999999924</v>
      </c>
      <c r="B566">
        <v>0.64999999999992397</v>
      </c>
      <c r="C566">
        <v>0.35000000000007603</v>
      </c>
      <c r="D566">
        <v>3.1086244689504383E-14</v>
      </c>
      <c r="E566">
        <v>0</v>
      </c>
      <c r="F566" t="s">
        <v>101</v>
      </c>
      <c r="G566" t="s">
        <v>102</v>
      </c>
    </row>
    <row r="567" spans="1:7" x14ac:dyDescent="0.3">
      <c r="A567">
        <v>5.6599999999999238</v>
      </c>
      <c r="B567">
        <v>0.65999999999992376</v>
      </c>
      <c r="C567">
        <v>0.34000000000007624</v>
      </c>
      <c r="D567">
        <v>3.1086244689504383E-14</v>
      </c>
      <c r="E567">
        <v>0</v>
      </c>
      <c r="F567" t="s">
        <v>101</v>
      </c>
      <c r="G567" t="s">
        <v>102</v>
      </c>
    </row>
    <row r="568" spans="1:7" x14ac:dyDescent="0.3">
      <c r="A568">
        <v>5.6699999999999235</v>
      </c>
      <c r="B568">
        <v>0.66999999999992355</v>
      </c>
      <c r="C568">
        <v>0.33000000000007645</v>
      </c>
      <c r="D568">
        <v>3.1086244689504383E-14</v>
      </c>
      <c r="E568">
        <v>0</v>
      </c>
      <c r="F568" t="s">
        <v>101</v>
      </c>
      <c r="G568" t="s">
        <v>102</v>
      </c>
    </row>
    <row r="569" spans="1:7" x14ac:dyDescent="0.3">
      <c r="A569">
        <v>5.6799999999999233</v>
      </c>
      <c r="B569">
        <v>0.67999999999992333</v>
      </c>
      <c r="C569">
        <v>0.32000000000007667</v>
      </c>
      <c r="D569">
        <v>3.1086244689504383E-14</v>
      </c>
      <c r="E569">
        <v>0</v>
      </c>
      <c r="F569" t="s">
        <v>101</v>
      </c>
      <c r="G569" t="s">
        <v>102</v>
      </c>
    </row>
    <row r="570" spans="1:7" x14ac:dyDescent="0.3">
      <c r="A570">
        <v>5.6899999999999231</v>
      </c>
      <c r="B570">
        <v>0.68999999999992312</v>
      </c>
      <c r="C570">
        <v>0.31000000000007688</v>
      </c>
      <c r="D570">
        <v>3.1086244689504383E-14</v>
      </c>
      <c r="E570">
        <v>0</v>
      </c>
      <c r="F570" t="s">
        <v>101</v>
      </c>
      <c r="G570" t="s">
        <v>102</v>
      </c>
    </row>
    <row r="571" spans="1:7" x14ac:dyDescent="0.3">
      <c r="A571">
        <v>5.6999999999999229</v>
      </c>
      <c r="B571">
        <v>0.69999999999992291</v>
      </c>
      <c r="C571">
        <v>0.30000000000007709</v>
      </c>
      <c r="D571">
        <v>3.1086244689504383E-14</v>
      </c>
      <c r="E571">
        <v>0</v>
      </c>
      <c r="F571" t="s">
        <v>101</v>
      </c>
      <c r="G571" t="s">
        <v>102</v>
      </c>
    </row>
    <row r="572" spans="1:7" x14ac:dyDescent="0.3">
      <c r="A572">
        <v>5.7099999999999227</v>
      </c>
      <c r="B572">
        <v>0.70999999999992269</v>
      </c>
      <c r="C572">
        <v>0.29000000000007731</v>
      </c>
      <c r="D572">
        <v>3.1086244689504383E-14</v>
      </c>
      <c r="E572">
        <v>0</v>
      </c>
      <c r="F572" t="s">
        <v>101</v>
      </c>
      <c r="G572" t="s">
        <v>102</v>
      </c>
    </row>
    <row r="573" spans="1:7" x14ac:dyDescent="0.3">
      <c r="A573">
        <v>5.7199999999999225</v>
      </c>
      <c r="B573">
        <v>0.71999999999992248</v>
      </c>
      <c r="C573">
        <v>0.28000000000007752</v>
      </c>
      <c r="D573">
        <v>3.1086244689504383E-14</v>
      </c>
      <c r="E573">
        <v>0</v>
      </c>
      <c r="F573" t="s">
        <v>101</v>
      </c>
      <c r="G573" t="s">
        <v>102</v>
      </c>
    </row>
    <row r="574" spans="1:7" x14ac:dyDescent="0.3">
      <c r="A574">
        <v>5.7299999999999223</v>
      </c>
      <c r="B574">
        <v>0.72999999999992227</v>
      </c>
      <c r="C574">
        <v>0.27000000000007773</v>
      </c>
      <c r="D574">
        <v>3.1086244689504383E-14</v>
      </c>
      <c r="E574">
        <v>0</v>
      </c>
      <c r="F574" t="s">
        <v>101</v>
      </c>
      <c r="G574" t="s">
        <v>102</v>
      </c>
    </row>
    <row r="575" spans="1:7" x14ac:dyDescent="0.3">
      <c r="A575">
        <v>5.7399999999999221</v>
      </c>
      <c r="B575">
        <v>0.73999999999992205</v>
      </c>
      <c r="C575">
        <v>0.26000000000007795</v>
      </c>
      <c r="D575">
        <v>3.1086244689504383E-14</v>
      </c>
      <c r="E575">
        <v>0</v>
      </c>
      <c r="F575" t="s">
        <v>101</v>
      </c>
      <c r="G575" t="s">
        <v>102</v>
      </c>
    </row>
    <row r="576" spans="1:7" x14ac:dyDescent="0.3">
      <c r="A576">
        <v>5.7499999999999218</v>
      </c>
      <c r="B576">
        <v>0.74999999999992184</v>
      </c>
      <c r="C576">
        <v>0.25000000000007816</v>
      </c>
      <c r="D576">
        <v>3.1086244689504383E-14</v>
      </c>
      <c r="E576">
        <v>0</v>
      </c>
      <c r="F576" t="s">
        <v>101</v>
      </c>
      <c r="G576" t="s">
        <v>102</v>
      </c>
    </row>
    <row r="577" spans="1:7" x14ac:dyDescent="0.3">
      <c r="A577">
        <v>5.7599999999999216</v>
      </c>
      <c r="B577">
        <v>0.75999999999992163</v>
      </c>
      <c r="C577">
        <v>0.24000000000007837</v>
      </c>
      <c r="D577">
        <v>3.1086244689504383E-14</v>
      </c>
      <c r="E577">
        <v>0</v>
      </c>
      <c r="F577" t="s">
        <v>101</v>
      </c>
      <c r="G577" t="s">
        <v>102</v>
      </c>
    </row>
    <row r="578" spans="1:7" x14ac:dyDescent="0.3">
      <c r="A578">
        <v>5.7699999999999214</v>
      </c>
      <c r="B578">
        <v>0.76999999999992141</v>
      </c>
      <c r="C578">
        <v>0.23000000000007859</v>
      </c>
      <c r="D578">
        <v>3.1086244689504383E-14</v>
      </c>
      <c r="E578">
        <v>0</v>
      </c>
      <c r="F578" t="s">
        <v>101</v>
      </c>
      <c r="G578" t="s">
        <v>102</v>
      </c>
    </row>
    <row r="579" spans="1:7" x14ac:dyDescent="0.3">
      <c r="A579">
        <v>5.7799999999999212</v>
      </c>
      <c r="B579">
        <v>0.7799999999999212</v>
      </c>
      <c r="C579">
        <v>0.2200000000000788</v>
      </c>
      <c r="D579">
        <v>3.1086244689504383E-14</v>
      </c>
      <c r="E579">
        <v>0</v>
      </c>
      <c r="F579" t="s">
        <v>101</v>
      </c>
      <c r="G579" t="s">
        <v>102</v>
      </c>
    </row>
    <row r="580" spans="1:7" x14ac:dyDescent="0.3">
      <c r="A580">
        <v>5.789999999999921</v>
      </c>
      <c r="B580">
        <v>0.78999999999992099</v>
      </c>
      <c r="C580">
        <v>0.21000000000007901</v>
      </c>
      <c r="D580">
        <v>3.1086244689504383E-14</v>
      </c>
      <c r="E580">
        <v>0</v>
      </c>
      <c r="F580" t="s">
        <v>101</v>
      </c>
      <c r="G580" t="s">
        <v>102</v>
      </c>
    </row>
    <row r="581" spans="1:7" x14ac:dyDescent="0.3">
      <c r="A581">
        <v>5.7999999999999208</v>
      </c>
      <c r="B581">
        <v>0.79999999999992077</v>
      </c>
      <c r="C581">
        <v>0.20000000000007923</v>
      </c>
      <c r="D581">
        <v>3.1086244689504383E-14</v>
      </c>
      <c r="E581">
        <v>0</v>
      </c>
      <c r="F581" t="s">
        <v>101</v>
      </c>
      <c r="G581" t="s">
        <v>102</v>
      </c>
    </row>
    <row r="582" spans="1:7" x14ac:dyDescent="0.3">
      <c r="A582">
        <v>5.8099999999999206</v>
      </c>
      <c r="B582">
        <v>0.80999999999992056</v>
      </c>
      <c r="C582">
        <v>0.19000000000007944</v>
      </c>
      <c r="D582">
        <v>3.1086244689504383E-14</v>
      </c>
      <c r="E582">
        <v>0</v>
      </c>
      <c r="F582" t="s">
        <v>101</v>
      </c>
      <c r="G582" t="s">
        <v>102</v>
      </c>
    </row>
    <row r="583" spans="1:7" x14ac:dyDescent="0.3">
      <c r="A583">
        <v>5.8199999999999203</v>
      </c>
      <c r="B583">
        <v>0.81999999999992035</v>
      </c>
      <c r="C583">
        <v>0.18000000000007965</v>
      </c>
      <c r="D583">
        <v>3.1086244689504383E-14</v>
      </c>
      <c r="E583">
        <v>0</v>
      </c>
      <c r="F583" t="s">
        <v>101</v>
      </c>
      <c r="G583" t="s">
        <v>102</v>
      </c>
    </row>
    <row r="584" spans="1:7" x14ac:dyDescent="0.3">
      <c r="A584">
        <v>5.8299999999999201</v>
      </c>
      <c r="B584">
        <v>0.82999999999992013</v>
      </c>
      <c r="C584">
        <v>0.17000000000007987</v>
      </c>
      <c r="D584">
        <v>3.1086244689504383E-14</v>
      </c>
      <c r="E584">
        <v>0</v>
      </c>
      <c r="F584" t="s">
        <v>101</v>
      </c>
      <c r="G584" t="s">
        <v>102</v>
      </c>
    </row>
    <row r="585" spans="1:7" x14ac:dyDescent="0.3">
      <c r="A585">
        <v>5.8399999999999199</v>
      </c>
      <c r="B585">
        <v>0.83999999999991992</v>
      </c>
      <c r="C585">
        <v>0.16000000000008008</v>
      </c>
      <c r="D585">
        <v>3.1086244689504383E-14</v>
      </c>
      <c r="E585">
        <v>0</v>
      </c>
      <c r="F585" t="s">
        <v>101</v>
      </c>
      <c r="G585" t="s">
        <v>102</v>
      </c>
    </row>
    <row r="586" spans="1:7" x14ac:dyDescent="0.3">
      <c r="A586">
        <v>5.8499999999999197</v>
      </c>
      <c r="B586">
        <v>0.84999999999991971</v>
      </c>
      <c r="C586">
        <v>0.15000000000008029</v>
      </c>
      <c r="D586">
        <v>3.1086244689504383E-14</v>
      </c>
      <c r="E586">
        <v>0</v>
      </c>
      <c r="F586" t="s">
        <v>101</v>
      </c>
      <c r="G586" t="s">
        <v>102</v>
      </c>
    </row>
    <row r="587" spans="1:7" x14ac:dyDescent="0.3">
      <c r="A587">
        <v>5.8599999999999195</v>
      </c>
      <c r="B587">
        <v>0.8599999999999195</v>
      </c>
      <c r="C587">
        <v>0.1400000000000805</v>
      </c>
      <c r="D587">
        <v>3.1086244689504383E-14</v>
      </c>
      <c r="E587">
        <v>0</v>
      </c>
      <c r="F587" t="s">
        <v>101</v>
      </c>
      <c r="G587" t="s">
        <v>102</v>
      </c>
    </row>
    <row r="588" spans="1:7" x14ac:dyDescent="0.3">
      <c r="A588">
        <v>5.8699999999999193</v>
      </c>
      <c r="B588">
        <v>0.86999999999991928</v>
      </c>
      <c r="C588">
        <v>0.13000000000008072</v>
      </c>
      <c r="D588">
        <v>3.1086244689504383E-14</v>
      </c>
      <c r="E588">
        <v>0</v>
      </c>
      <c r="F588" t="s">
        <v>101</v>
      </c>
      <c r="G588" t="s">
        <v>102</v>
      </c>
    </row>
    <row r="589" spans="1:7" x14ac:dyDescent="0.3">
      <c r="A589">
        <v>5.8799999999999191</v>
      </c>
      <c r="B589">
        <v>0.87999999999991907</v>
      </c>
      <c r="C589">
        <v>0.12000000000008093</v>
      </c>
      <c r="D589">
        <v>3.1086244689504383E-14</v>
      </c>
      <c r="E589">
        <v>0</v>
      </c>
      <c r="F589" t="s">
        <v>101</v>
      </c>
      <c r="G589" t="s">
        <v>102</v>
      </c>
    </row>
    <row r="590" spans="1:7" x14ac:dyDescent="0.3">
      <c r="A590">
        <v>5.8899999999999189</v>
      </c>
      <c r="B590">
        <v>0.88999999999991886</v>
      </c>
      <c r="C590">
        <v>0.11000000000008114</v>
      </c>
      <c r="D590">
        <v>3.1086244689504383E-14</v>
      </c>
      <c r="E590">
        <v>0</v>
      </c>
      <c r="F590" t="s">
        <v>101</v>
      </c>
      <c r="G590" t="s">
        <v>102</v>
      </c>
    </row>
    <row r="591" spans="1:7" x14ac:dyDescent="0.3">
      <c r="A591">
        <v>5.8999999999999186</v>
      </c>
      <c r="B591">
        <v>0.89999999999991864</v>
      </c>
      <c r="C591">
        <v>0.10000000000008136</v>
      </c>
      <c r="D591">
        <v>3.1086244689504383E-14</v>
      </c>
      <c r="E591">
        <v>0</v>
      </c>
      <c r="F591" t="s">
        <v>101</v>
      </c>
      <c r="G591" t="s">
        <v>102</v>
      </c>
    </row>
    <row r="592" spans="1:7" x14ac:dyDescent="0.3">
      <c r="A592">
        <v>5.9099999999999184</v>
      </c>
      <c r="B592">
        <v>0.90999999999991843</v>
      </c>
      <c r="C592">
        <v>9.000000000008157E-2</v>
      </c>
      <c r="D592">
        <v>3.1086244689504383E-14</v>
      </c>
      <c r="E592">
        <v>0</v>
      </c>
      <c r="F592" t="s">
        <v>101</v>
      </c>
      <c r="G592" t="s">
        <v>102</v>
      </c>
    </row>
    <row r="593" spans="1:7" x14ac:dyDescent="0.3">
      <c r="A593">
        <v>5.9199999999999182</v>
      </c>
      <c r="B593">
        <v>0.91999999999991822</v>
      </c>
      <c r="C593">
        <v>8.0000000000081783E-2</v>
      </c>
      <c r="D593">
        <v>3.1086244689504383E-14</v>
      </c>
      <c r="E593">
        <v>0</v>
      </c>
      <c r="F593" t="s">
        <v>101</v>
      </c>
      <c r="G593" t="s">
        <v>102</v>
      </c>
    </row>
    <row r="594" spans="1:7" x14ac:dyDescent="0.3">
      <c r="A594">
        <v>5.929999999999918</v>
      </c>
      <c r="B594">
        <v>0.929999999999918</v>
      </c>
      <c r="C594">
        <v>7.0000000000081997E-2</v>
      </c>
      <c r="D594">
        <v>3.1086244689504383E-14</v>
      </c>
      <c r="E594">
        <v>0</v>
      </c>
      <c r="F594" t="s">
        <v>101</v>
      </c>
      <c r="G594" t="s">
        <v>102</v>
      </c>
    </row>
    <row r="595" spans="1:7" x14ac:dyDescent="0.3">
      <c r="A595">
        <v>5.9399999999999178</v>
      </c>
      <c r="B595">
        <v>0.93999999999991779</v>
      </c>
      <c r="C595">
        <v>6.000000000008221E-2</v>
      </c>
      <c r="D595">
        <v>3.1086244689504383E-14</v>
      </c>
      <c r="E595">
        <v>0</v>
      </c>
      <c r="F595" t="s">
        <v>101</v>
      </c>
      <c r="G595" t="s">
        <v>102</v>
      </c>
    </row>
    <row r="596" spans="1:7" x14ac:dyDescent="0.3">
      <c r="A596">
        <v>5.9499999999999176</v>
      </c>
      <c r="B596">
        <v>0.94999999999991758</v>
      </c>
      <c r="C596">
        <v>5.0000000000082423E-2</v>
      </c>
      <c r="D596">
        <v>3.1086244689504383E-14</v>
      </c>
      <c r="E596">
        <v>0</v>
      </c>
      <c r="F596" t="s">
        <v>101</v>
      </c>
      <c r="G596" t="s">
        <v>102</v>
      </c>
    </row>
    <row r="597" spans="1:7" x14ac:dyDescent="0.3">
      <c r="A597">
        <v>5.9599999999999174</v>
      </c>
      <c r="B597">
        <v>0.95999999999991736</v>
      </c>
      <c r="C597">
        <v>4.0000000000082636E-2</v>
      </c>
      <c r="D597">
        <v>3.1086244689504383E-14</v>
      </c>
      <c r="E597">
        <v>0</v>
      </c>
      <c r="F597" t="s">
        <v>101</v>
      </c>
      <c r="G597" t="s">
        <v>102</v>
      </c>
    </row>
    <row r="598" spans="1:7" x14ac:dyDescent="0.3">
      <c r="A598">
        <v>5.9699999999999172</v>
      </c>
      <c r="B598">
        <v>0.96999999999991715</v>
      </c>
      <c r="C598">
        <v>3.0000000000082849E-2</v>
      </c>
      <c r="D598">
        <v>3.1086244689504383E-14</v>
      </c>
      <c r="E598">
        <v>0</v>
      </c>
      <c r="F598" t="s">
        <v>101</v>
      </c>
      <c r="G598" t="s">
        <v>102</v>
      </c>
    </row>
    <row r="599" spans="1:7" x14ac:dyDescent="0.3">
      <c r="A599">
        <v>5.9799999999999169</v>
      </c>
      <c r="B599">
        <v>0.97999999999991694</v>
      </c>
      <c r="C599">
        <v>2.0000000000083062E-2</v>
      </c>
      <c r="D599">
        <v>3.1086244689504383E-14</v>
      </c>
      <c r="E599">
        <v>0</v>
      </c>
      <c r="F599" t="s">
        <v>101</v>
      </c>
      <c r="G599" t="s">
        <v>102</v>
      </c>
    </row>
    <row r="600" spans="1:7" x14ac:dyDescent="0.3">
      <c r="A600">
        <v>5.9899999999999167</v>
      </c>
      <c r="B600">
        <v>0.98999999999991672</v>
      </c>
      <c r="C600">
        <v>1.0000000000083276E-2</v>
      </c>
      <c r="D600">
        <v>3.1086244689504383E-14</v>
      </c>
      <c r="E600">
        <v>0</v>
      </c>
      <c r="F600" t="s">
        <v>101</v>
      </c>
      <c r="G600" t="s">
        <v>102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>
      <selection activeCell="O20" sqref="O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I2" sqref="I2"/>
    </sheetView>
  </sheetViews>
  <sheetFormatPr defaultRowHeight="14.4" x14ac:dyDescent="0.3"/>
  <cols>
    <col min="5" max="10" width="10.5546875" customWidth="1"/>
    <col min="11" max="18" width="5.6640625" customWidth="1"/>
  </cols>
  <sheetData>
    <row r="1" spans="1:18" x14ac:dyDescent="0.3">
      <c r="A1" t="s">
        <v>96</v>
      </c>
      <c r="B1">
        <v>6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R1" t="s">
        <v>119</v>
      </c>
    </row>
    <row r="2" spans="1:18" x14ac:dyDescent="0.3">
      <c r="A2" t="s">
        <v>92</v>
      </c>
      <c r="B2">
        <v>2</v>
      </c>
      <c r="D2" t="s">
        <v>120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3">
      <c r="A3" t="s">
        <v>93</v>
      </c>
      <c r="B3">
        <v>2</v>
      </c>
      <c r="D3" t="s">
        <v>33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3">
      <c r="A4" t="s">
        <v>94</v>
      </c>
      <c r="B4">
        <v>1</v>
      </c>
      <c r="D4" t="s">
        <v>34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3">
      <c r="A5" t="s">
        <v>95</v>
      </c>
      <c r="B5">
        <v>1</v>
      </c>
      <c r="D5" t="s">
        <v>35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3">
      <c r="A6" t="s">
        <v>97</v>
      </c>
      <c r="B6">
        <v>0.5</v>
      </c>
      <c r="D6" t="s">
        <v>36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3">
      <c r="A7" t="s">
        <v>98</v>
      </c>
      <c r="B7">
        <v>0.5</v>
      </c>
      <c r="D7" t="s">
        <v>37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3">
      <c r="A8" t="s">
        <v>104</v>
      </c>
      <c r="B8">
        <v>1</v>
      </c>
    </row>
    <row r="9" spans="1:18" x14ac:dyDescent="0.3">
      <c r="A9" t="s">
        <v>105</v>
      </c>
      <c r="B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Foot Vectors</vt:lpstr>
      <vt:lpstr>Gait Patterns</vt:lpstr>
      <vt:lpstr>Sheet3</vt:lpstr>
      <vt:lpstr>Angles</vt:lpstr>
      <vt:lpstr>F(t)</vt:lpstr>
      <vt:lpstr>G(t)</vt:lpstr>
      <vt:lpstr>Example step</vt:lpstr>
      <vt:lpstr>Gait Calced</vt:lpstr>
      <vt:lpstr>Graphs</vt:lpstr>
      <vt:lpstr>Gait Data</vt:lpstr>
      <vt:lpstr>A_global</vt:lpstr>
      <vt:lpstr>Alpha</vt:lpstr>
      <vt:lpstr>Beta</vt:lpstr>
      <vt:lpstr>h</vt:lpstr>
      <vt:lpstr>L_1</vt:lpstr>
      <vt:lpstr>L_2</vt:lpstr>
      <vt:lpstr>R_b</vt:lpstr>
      <vt:lpstr>R_max</vt:lpstr>
      <vt:lpstr>R_min</vt:lpstr>
      <vt:lpstr>R_r</vt:lpstr>
      <vt:lpstr>t</vt:lpstr>
      <vt:lpstr>Theta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2018-01-26T10:29:52Z</dcterms:modified>
</cp:coreProperties>
</file>